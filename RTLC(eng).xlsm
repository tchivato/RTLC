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0" yWindow="-45" windowWidth="16230" windowHeight="11175"/>
  </bookViews>
  <sheets>
    <sheet name="RESULTS" sheetId="10" r:id="rId1"/>
    <sheet name="CALC" sheetId="9" r:id="rId2"/>
    <sheet name="Instructions" sheetId="12" r:id="rId3"/>
  </sheets>
  <definedNames>
    <definedName name="_230125RFnn" localSheetId="1">CALC!$A$1:$B$246</definedName>
  </definedNames>
  <calcPr calcId="145621"/>
  <fileRecoveryPr autoRecover="0"/>
</workbook>
</file>

<file path=xl/calcChain.xml><?xml version="1.0" encoding="utf-8"?>
<calcChain xmlns="http://schemas.openxmlformats.org/spreadsheetml/2006/main">
  <c r="C247" i="9" l="1"/>
  <c r="C3" i="9"/>
  <c r="D3" i="9"/>
  <c r="L3" i="9"/>
  <c r="C4" i="9"/>
  <c r="D4" i="9"/>
  <c r="H4" i="9"/>
  <c r="J4" i="9"/>
  <c r="C5" i="9"/>
  <c r="D5" i="9"/>
  <c r="J5" i="9"/>
  <c r="N5" i="9"/>
  <c r="C6" i="9"/>
  <c r="J6" i="9" s="1"/>
  <c r="D6" i="9"/>
  <c r="F6" i="9"/>
  <c r="H6" i="9"/>
  <c r="L6" i="9"/>
  <c r="N6" i="9"/>
  <c r="C7" i="9"/>
  <c r="D7" i="9"/>
  <c r="H7" i="9"/>
  <c r="C8" i="9"/>
  <c r="J8" i="9" s="1"/>
  <c r="D8" i="9"/>
  <c r="F8" i="9"/>
  <c r="L8" i="9"/>
  <c r="N8" i="9"/>
  <c r="C9" i="9"/>
  <c r="D9" i="9"/>
  <c r="J9" i="9"/>
  <c r="C10" i="9"/>
  <c r="F10" i="9" s="1"/>
  <c r="D10" i="9"/>
  <c r="C11" i="9"/>
  <c r="F11" i="9" s="1"/>
  <c r="D11" i="9"/>
  <c r="C12" i="9"/>
  <c r="H12" i="9" s="1"/>
  <c r="D12" i="9"/>
  <c r="N12" i="9"/>
  <c r="C13" i="9"/>
  <c r="D13" i="9"/>
  <c r="H13" i="9"/>
  <c r="J13" i="9"/>
  <c r="L13" i="9"/>
  <c r="N13" i="9"/>
  <c r="C14" i="9"/>
  <c r="N14" i="9" s="1"/>
  <c r="D14" i="9"/>
  <c r="L14" i="9"/>
  <c r="C15" i="9"/>
  <c r="H15" i="9" s="1"/>
  <c r="D15" i="9"/>
  <c r="L15" i="9"/>
  <c r="C16" i="9"/>
  <c r="L16" i="9" s="1"/>
  <c r="D16" i="9"/>
  <c r="C17" i="9"/>
  <c r="H17" i="9" s="1"/>
  <c r="D17" i="9"/>
  <c r="C18" i="9"/>
  <c r="J18" i="9" s="1"/>
  <c r="D18" i="9"/>
  <c r="C19" i="9"/>
  <c r="H19" i="9" s="1"/>
  <c r="D19" i="9"/>
  <c r="C20" i="9"/>
  <c r="H20" i="9" s="1"/>
  <c r="D20" i="9"/>
  <c r="C21" i="9"/>
  <c r="H21" i="9" s="1"/>
  <c r="D21" i="9"/>
  <c r="C22" i="9"/>
  <c r="D22" i="9"/>
  <c r="C23" i="9"/>
  <c r="D23" i="9"/>
  <c r="C24" i="9"/>
  <c r="H24" i="9" s="1"/>
  <c r="D24" i="9"/>
  <c r="C25" i="9"/>
  <c r="D25" i="9"/>
  <c r="H25" i="9"/>
  <c r="J25" i="9"/>
  <c r="L25" i="9"/>
  <c r="N25" i="9"/>
  <c r="C26" i="9"/>
  <c r="N26" i="9" s="1"/>
  <c r="D26" i="9"/>
  <c r="C27" i="9"/>
  <c r="D27" i="9"/>
  <c r="C28" i="9"/>
  <c r="L28" i="9" s="1"/>
  <c r="D28" i="9"/>
  <c r="C29" i="9"/>
  <c r="D29" i="9"/>
  <c r="L29" i="9"/>
  <c r="C30" i="9"/>
  <c r="J30" i="9" s="1"/>
  <c r="D30" i="9"/>
  <c r="L30" i="9"/>
  <c r="C31" i="9"/>
  <c r="D31" i="9"/>
  <c r="L31" i="9"/>
  <c r="C32" i="9"/>
  <c r="H32" i="9" s="1"/>
  <c r="D32" i="9"/>
  <c r="L32" i="9"/>
  <c r="C33" i="9"/>
  <c r="D33" i="9"/>
  <c r="L33" i="9"/>
  <c r="C34" i="9"/>
  <c r="D34" i="9"/>
  <c r="L34" i="9"/>
  <c r="C35" i="9"/>
  <c r="D35" i="9"/>
  <c r="L35" i="9"/>
  <c r="C36" i="9"/>
  <c r="D36" i="9"/>
  <c r="N36" i="9"/>
  <c r="C37" i="9"/>
  <c r="D37" i="9"/>
  <c r="H37" i="9"/>
  <c r="J37" i="9"/>
  <c r="L37" i="9"/>
  <c r="N37" i="9"/>
  <c r="C38" i="9"/>
  <c r="N38" i="9" s="1"/>
  <c r="D38" i="9"/>
  <c r="J38" i="9"/>
  <c r="C39" i="9"/>
  <c r="D39" i="9"/>
  <c r="J39" i="9"/>
  <c r="C40" i="9"/>
  <c r="L40" i="9" s="1"/>
  <c r="D40" i="9"/>
  <c r="J40" i="9"/>
  <c r="C41" i="9"/>
  <c r="D41" i="9"/>
  <c r="J41" i="9"/>
  <c r="C42" i="9"/>
  <c r="J42" i="9" s="1"/>
  <c r="D42" i="9"/>
  <c r="C43" i="9"/>
  <c r="D43" i="9"/>
  <c r="C44" i="9"/>
  <c r="H44" i="9" s="1"/>
  <c r="D44" i="9"/>
  <c r="C45" i="9"/>
  <c r="D45" i="9"/>
  <c r="C46" i="9"/>
  <c r="D46" i="9"/>
  <c r="C47" i="9"/>
  <c r="D47" i="9"/>
  <c r="C48" i="9"/>
  <c r="J48" i="9" s="1"/>
  <c r="D48" i="9"/>
  <c r="C49" i="9"/>
  <c r="D49" i="9"/>
  <c r="H49" i="9"/>
  <c r="J49" i="9"/>
  <c r="L49" i="9"/>
  <c r="N49" i="9"/>
  <c r="C50" i="9"/>
  <c r="N50" i="9" s="1"/>
  <c r="D50" i="9"/>
  <c r="L50" i="9"/>
  <c r="C51" i="9"/>
  <c r="D51" i="9"/>
  <c r="L51" i="9"/>
  <c r="N51" i="9"/>
  <c r="C52" i="9"/>
  <c r="L52" i="9" s="1"/>
  <c r="D52" i="9"/>
  <c r="N52" i="9"/>
  <c r="C53" i="9"/>
  <c r="D53" i="9"/>
  <c r="N53" i="9"/>
  <c r="C54" i="9"/>
  <c r="J54" i="9" s="1"/>
  <c r="D54" i="9"/>
  <c r="N54" i="9"/>
  <c r="C55" i="9"/>
  <c r="D55" i="9"/>
  <c r="C56" i="9"/>
  <c r="D56" i="9"/>
  <c r="J56" i="9"/>
  <c r="N56" i="9"/>
  <c r="C57" i="9"/>
  <c r="D57" i="9"/>
  <c r="C58" i="9"/>
  <c r="D58" i="9"/>
  <c r="J58" i="9"/>
  <c r="N58" i="9"/>
  <c r="C59" i="9"/>
  <c r="D59" i="9"/>
  <c r="C60" i="9"/>
  <c r="D60" i="9"/>
  <c r="L60" i="9"/>
  <c r="N60" i="9"/>
  <c r="C61" i="9"/>
  <c r="D61" i="9"/>
  <c r="F61" i="9"/>
  <c r="H61" i="9"/>
  <c r="J61" i="9"/>
  <c r="L61" i="9"/>
  <c r="N61" i="9"/>
  <c r="C62" i="9"/>
  <c r="N62" i="9" s="1"/>
  <c r="D62" i="9"/>
  <c r="H62" i="9"/>
  <c r="J62" i="9"/>
  <c r="L62" i="9"/>
  <c r="C63" i="9"/>
  <c r="D63" i="9"/>
  <c r="H63" i="9"/>
  <c r="J63" i="9"/>
  <c r="L63" i="9"/>
  <c r="N63" i="9"/>
  <c r="C64" i="9"/>
  <c r="L64" i="9" s="1"/>
  <c r="D64" i="9"/>
  <c r="H64" i="9"/>
  <c r="J64" i="9"/>
  <c r="N64" i="9"/>
  <c r="C65" i="9"/>
  <c r="D65" i="9"/>
  <c r="H65" i="9"/>
  <c r="J65" i="9"/>
  <c r="L65" i="9"/>
  <c r="N65" i="9"/>
  <c r="C66" i="9"/>
  <c r="J66" i="9" s="1"/>
  <c r="D66" i="9"/>
  <c r="H66" i="9"/>
  <c r="L66" i="9"/>
  <c r="N66" i="9"/>
  <c r="C67" i="9"/>
  <c r="D67" i="9"/>
  <c r="H67" i="9"/>
  <c r="L67" i="9"/>
  <c r="N67" i="9"/>
  <c r="C68" i="9"/>
  <c r="H68" i="9" s="1"/>
  <c r="D68" i="9"/>
  <c r="L68" i="9"/>
  <c r="N68" i="9"/>
  <c r="C69" i="9"/>
  <c r="D69" i="9"/>
  <c r="L69" i="9"/>
  <c r="N69" i="9"/>
  <c r="C70" i="9"/>
  <c r="F70" i="9" s="1"/>
  <c r="D70" i="9"/>
  <c r="L70" i="9"/>
  <c r="N70" i="9"/>
  <c r="C71" i="9"/>
  <c r="D71" i="9"/>
  <c r="L71" i="9"/>
  <c r="N71" i="9"/>
  <c r="C72" i="9"/>
  <c r="D72" i="9"/>
  <c r="L72" i="9"/>
  <c r="C73" i="9"/>
  <c r="D73" i="9"/>
  <c r="F73" i="9"/>
  <c r="H73" i="9"/>
  <c r="J73" i="9"/>
  <c r="L73" i="9"/>
  <c r="N73" i="9"/>
  <c r="C74" i="9"/>
  <c r="N74" i="9" s="1"/>
  <c r="D74" i="9"/>
  <c r="F74" i="9"/>
  <c r="H74" i="9"/>
  <c r="J74" i="9"/>
  <c r="L74" i="9"/>
  <c r="C75" i="9"/>
  <c r="D75" i="9"/>
  <c r="F75" i="9"/>
  <c r="H75" i="9"/>
  <c r="J75" i="9"/>
  <c r="L75" i="9"/>
  <c r="N75" i="9"/>
  <c r="C76" i="9"/>
  <c r="L76" i="9" s="1"/>
  <c r="D76" i="9"/>
  <c r="F76" i="9"/>
  <c r="H76" i="9"/>
  <c r="J76" i="9"/>
  <c r="N76" i="9"/>
  <c r="C77" i="9"/>
  <c r="D77" i="9"/>
  <c r="F77" i="9"/>
  <c r="H77" i="9"/>
  <c r="J77" i="9"/>
  <c r="L77" i="9"/>
  <c r="N77" i="9"/>
  <c r="C78" i="9"/>
  <c r="J78" i="9" s="1"/>
  <c r="D78" i="9"/>
  <c r="F78" i="9"/>
  <c r="H78" i="9"/>
  <c r="L78" i="9"/>
  <c r="N78" i="9"/>
  <c r="C79" i="9"/>
  <c r="D79" i="9"/>
  <c r="F79" i="9"/>
  <c r="H79" i="9"/>
  <c r="J79" i="9"/>
  <c r="L79" i="9"/>
  <c r="N79" i="9"/>
  <c r="C80" i="9"/>
  <c r="H80" i="9" s="1"/>
  <c r="D80" i="9"/>
  <c r="F80" i="9"/>
  <c r="J80" i="9"/>
  <c r="L80" i="9"/>
  <c r="N80" i="9"/>
  <c r="C81" i="9"/>
  <c r="D81" i="9"/>
  <c r="F81" i="9"/>
  <c r="H81" i="9"/>
  <c r="J81" i="9"/>
  <c r="L81" i="9"/>
  <c r="N81" i="9"/>
  <c r="C82" i="9"/>
  <c r="F82" i="9" s="1"/>
  <c r="D82" i="9"/>
  <c r="H82" i="9"/>
  <c r="J82" i="9"/>
  <c r="L82" i="9"/>
  <c r="N82" i="9"/>
  <c r="C83" i="9"/>
  <c r="F83" i="9" s="1"/>
  <c r="D83" i="9"/>
  <c r="H83" i="9"/>
  <c r="J83" i="9"/>
  <c r="L83" i="9"/>
  <c r="N83" i="9"/>
  <c r="C84" i="9"/>
  <c r="D84" i="9"/>
  <c r="F84" i="9"/>
  <c r="H84" i="9"/>
  <c r="J84" i="9"/>
  <c r="L84" i="9"/>
  <c r="N84" i="9"/>
  <c r="C85" i="9"/>
  <c r="D85" i="9"/>
  <c r="F85" i="9"/>
  <c r="H85" i="9"/>
  <c r="J85" i="9"/>
  <c r="L85" i="9"/>
  <c r="N85" i="9"/>
  <c r="C86" i="9"/>
  <c r="N86" i="9" s="1"/>
  <c r="D86" i="9"/>
  <c r="F86" i="9"/>
  <c r="H86" i="9"/>
  <c r="J86" i="9"/>
  <c r="L86" i="9"/>
  <c r="C87" i="9"/>
  <c r="D87" i="9"/>
  <c r="F87" i="9"/>
  <c r="H87" i="9"/>
  <c r="J87" i="9"/>
  <c r="L87" i="9"/>
  <c r="N87" i="9"/>
  <c r="C88" i="9"/>
  <c r="L88" i="9" s="1"/>
  <c r="D88" i="9"/>
  <c r="F88" i="9"/>
  <c r="H88" i="9"/>
  <c r="J88" i="9"/>
  <c r="N88" i="9"/>
  <c r="C89" i="9"/>
  <c r="D89" i="9"/>
  <c r="F89" i="9"/>
  <c r="H89" i="9"/>
  <c r="J89" i="9"/>
  <c r="L89" i="9"/>
  <c r="N89" i="9"/>
  <c r="C90" i="9"/>
  <c r="J90" i="9" s="1"/>
  <c r="D90" i="9"/>
  <c r="F90" i="9"/>
  <c r="H90" i="9"/>
  <c r="L90" i="9"/>
  <c r="N90" i="9"/>
  <c r="C91" i="9"/>
  <c r="D91" i="9"/>
  <c r="F91" i="9"/>
  <c r="H91" i="9"/>
  <c r="J91" i="9"/>
  <c r="L91" i="9"/>
  <c r="N91" i="9"/>
  <c r="C92" i="9"/>
  <c r="H92" i="9" s="1"/>
  <c r="D92" i="9"/>
  <c r="F92" i="9"/>
  <c r="J92" i="9"/>
  <c r="L92" i="9"/>
  <c r="N92" i="9"/>
  <c r="C93" i="9"/>
  <c r="D93" i="9"/>
  <c r="F93" i="9"/>
  <c r="H93" i="9"/>
  <c r="J93" i="9"/>
  <c r="L93" i="9"/>
  <c r="N93" i="9"/>
  <c r="C94" i="9"/>
  <c r="F94" i="9" s="1"/>
  <c r="D94" i="9"/>
  <c r="H94" i="9"/>
  <c r="J94" i="9"/>
  <c r="L94" i="9"/>
  <c r="N94" i="9"/>
  <c r="C95" i="9"/>
  <c r="D95" i="9"/>
  <c r="F95" i="9"/>
  <c r="H95" i="9"/>
  <c r="J95" i="9"/>
  <c r="L95" i="9"/>
  <c r="N95" i="9"/>
  <c r="C96" i="9"/>
  <c r="D96" i="9"/>
  <c r="F96" i="9"/>
  <c r="H96" i="9"/>
  <c r="J96" i="9"/>
  <c r="L96" i="9"/>
  <c r="N96" i="9"/>
  <c r="C97" i="9"/>
  <c r="N97" i="9" s="1"/>
  <c r="D97" i="9"/>
  <c r="F97" i="9"/>
  <c r="H97" i="9"/>
  <c r="J97" i="9"/>
  <c r="L97" i="9"/>
  <c r="C98" i="9"/>
  <c r="N98" i="9" s="1"/>
  <c r="D98" i="9"/>
  <c r="J98" i="9"/>
  <c r="C99" i="9"/>
  <c r="F99" i="9" s="1"/>
  <c r="D99" i="9"/>
  <c r="H99" i="9"/>
  <c r="C100" i="9"/>
  <c r="N100" i="9" s="1"/>
  <c r="D100" i="9"/>
  <c r="C101" i="9"/>
  <c r="D101" i="9"/>
  <c r="F101" i="9"/>
  <c r="H101" i="9"/>
  <c r="L101" i="9"/>
  <c r="C102" i="9"/>
  <c r="N102" i="9" s="1"/>
  <c r="D102" i="9"/>
  <c r="F102" i="9"/>
  <c r="C103" i="9"/>
  <c r="D103" i="9"/>
  <c r="J103" i="9"/>
  <c r="C104" i="9"/>
  <c r="N104" i="9" s="1"/>
  <c r="D104" i="9"/>
  <c r="F104" i="9"/>
  <c r="H104" i="9"/>
  <c r="L104" i="9"/>
  <c r="C105" i="9"/>
  <c r="D105" i="9"/>
  <c r="H105" i="9"/>
  <c r="J105" i="9"/>
  <c r="C106" i="9"/>
  <c r="F106" i="9" s="1"/>
  <c r="D106" i="9"/>
  <c r="L106" i="9"/>
  <c r="C107" i="9"/>
  <c r="N107" i="9" s="1"/>
  <c r="D107" i="9"/>
  <c r="F107" i="9"/>
  <c r="H107" i="9"/>
  <c r="J107" i="9"/>
  <c r="L107" i="9"/>
  <c r="C108" i="9"/>
  <c r="L108" i="9" s="1"/>
  <c r="D108" i="9"/>
  <c r="F108" i="9"/>
  <c r="H108" i="9"/>
  <c r="J108" i="9"/>
  <c r="N108" i="9"/>
  <c r="C109" i="9"/>
  <c r="D109" i="9"/>
  <c r="C110" i="9"/>
  <c r="J110" i="9" s="1"/>
  <c r="D110" i="9"/>
  <c r="H110" i="9"/>
  <c r="N110" i="9"/>
  <c r="C111" i="9"/>
  <c r="J111" i="9" s="1"/>
  <c r="D111" i="9"/>
  <c r="H111" i="9"/>
  <c r="L111" i="9"/>
  <c r="C112" i="9"/>
  <c r="H112" i="9" s="1"/>
  <c r="D112" i="9"/>
  <c r="F112" i="9"/>
  <c r="L112" i="9"/>
  <c r="N112" i="9"/>
  <c r="C113" i="9"/>
  <c r="H113" i="9" s="1"/>
  <c r="D113" i="9"/>
  <c r="F113" i="9"/>
  <c r="L113" i="9"/>
  <c r="N113" i="9"/>
  <c r="C114" i="9"/>
  <c r="F114" i="9" s="1"/>
  <c r="D114" i="9"/>
  <c r="H114" i="9"/>
  <c r="J114" i="9"/>
  <c r="N114" i="9"/>
  <c r="C115" i="9"/>
  <c r="H115" i="9" s="1"/>
  <c r="D115" i="9"/>
  <c r="J115" i="9"/>
  <c r="N115" i="9"/>
  <c r="C116" i="9"/>
  <c r="D116" i="9"/>
  <c r="J116" i="9"/>
  <c r="N116" i="9"/>
  <c r="C117" i="9"/>
  <c r="D117" i="9"/>
  <c r="F117" i="9"/>
  <c r="H117" i="9"/>
  <c r="J117" i="9"/>
  <c r="L117" i="9"/>
  <c r="N117" i="9"/>
  <c r="C118" i="9"/>
  <c r="D118" i="9"/>
  <c r="F118" i="9"/>
  <c r="H118" i="9"/>
  <c r="J118" i="9"/>
  <c r="L118" i="9"/>
  <c r="N118" i="9"/>
  <c r="C119" i="9"/>
  <c r="D119" i="9"/>
  <c r="F119" i="9"/>
  <c r="H119" i="9"/>
  <c r="J119" i="9"/>
  <c r="C120" i="9"/>
  <c r="D120" i="9"/>
  <c r="C121" i="9"/>
  <c r="D121" i="9"/>
  <c r="F121" i="9"/>
  <c r="H121" i="9"/>
  <c r="J121" i="9"/>
  <c r="C122" i="9"/>
  <c r="D122" i="9"/>
  <c r="F122" i="9"/>
  <c r="H122" i="9"/>
  <c r="J122" i="9"/>
  <c r="N122" i="9"/>
  <c r="C123" i="9"/>
  <c r="D123" i="9"/>
  <c r="C124" i="9"/>
  <c r="D124" i="9"/>
  <c r="F124" i="9"/>
  <c r="H124" i="9"/>
  <c r="J124" i="9"/>
  <c r="C125" i="9"/>
  <c r="D125" i="9"/>
  <c r="F125" i="9"/>
  <c r="J125" i="9"/>
  <c r="N125" i="9"/>
  <c r="C126" i="9"/>
  <c r="D126" i="9"/>
  <c r="C127" i="9"/>
  <c r="D127" i="9"/>
  <c r="J127" i="9"/>
  <c r="C128" i="9"/>
  <c r="D128" i="9"/>
  <c r="J128" i="9"/>
  <c r="N128" i="9"/>
  <c r="C129" i="9"/>
  <c r="D129" i="9"/>
  <c r="C130" i="9"/>
  <c r="D130" i="9"/>
  <c r="F130" i="9"/>
  <c r="H130" i="9"/>
  <c r="J130" i="9"/>
  <c r="L130" i="9"/>
  <c r="N130" i="9"/>
  <c r="C131" i="9"/>
  <c r="N131" i="9" s="1"/>
  <c r="D131" i="9"/>
  <c r="H131" i="9"/>
  <c r="L131" i="9"/>
  <c r="C132" i="9"/>
  <c r="D132" i="9"/>
  <c r="H132" i="9"/>
  <c r="L132" i="9"/>
  <c r="N132" i="9"/>
  <c r="C133" i="9"/>
  <c r="D133" i="9"/>
  <c r="H133" i="9"/>
  <c r="N133" i="9"/>
  <c r="C134" i="9"/>
  <c r="D134" i="9"/>
  <c r="C135" i="9"/>
  <c r="D135" i="9"/>
  <c r="H135" i="9"/>
  <c r="C136" i="9"/>
  <c r="D136" i="9"/>
  <c r="H136" i="9"/>
  <c r="J136" i="9"/>
  <c r="N136" i="9"/>
  <c r="C137" i="9"/>
  <c r="D137" i="9"/>
  <c r="J137" i="9"/>
  <c r="N137" i="9"/>
  <c r="C138" i="9"/>
  <c r="D138" i="9"/>
  <c r="C139" i="9"/>
  <c r="D139" i="9"/>
  <c r="H139" i="9"/>
  <c r="J139" i="9"/>
  <c r="C140" i="9"/>
  <c r="D140" i="9"/>
  <c r="F140" i="9"/>
  <c r="H140" i="9"/>
  <c r="J140" i="9"/>
  <c r="N140" i="9"/>
  <c r="C141" i="9"/>
  <c r="D141" i="9"/>
  <c r="H141" i="9"/>
  <c r="L141" i="9"/>
  <c r="N141" i="9"/>
  <c r="C142" i="9"/>
  <c r="D142" i="9"/>
  <c r="F142" i="9"/>
  <c r="H142" i="9"/>
  <c r="J142" i="9"/>
  <c r="L142" i="9"/>
  <c r="N142" i="9"/>
  <c r="C143" i="9"/>
  <c r="F143" i="9" s="1"/>
  <c r="D143" i="9"/>
  <c r="C144" i="9"/>
  <c r="L144" i="9" s="1"/>
  <c r="D144" i="9"/>
  <c r="F144" i="9"/>
  <c r="H144" i="9"/>
  <c r="C145" i="9"/>
  <c r="F145" i="9" s="1"/>
  <c r="D145" i="9"/>
  <c r="N145" i="9"/>
  <c r="C146" i="9"/>
  <c r="D146" i="9"/>
  <c r="C147" i="9"/>
  <c r="F147" i="9" s="1"/>
  <c r="D147" i="9"/>
  <c r="C148" i="9"/>
  <c r="D148" i="9"/>
  <c r="F148" i="9"/>
  <c r="H148" i="9"/>
  <c r="L148" i="9"/>
  <c r="C149" i="9"/>
  <c r="F149" i="9" s="1"/>
  <c r="D149" i="9"/>
  <c r="L149" i="9"/>
  <c r="N149" i="9"/>
  <c r="C150" i="9"/>
  <c r="D150" i="9"/>
  <c r="H150" i="9"/>
  <c r="C151" i="9"/>
  <c r="H151" i="9" s="1"/>
  <c r="D151" i="9"/>
  <c r="C152" i="9"/>
  <c r="D152" i="9"/>
  <c r="H152" i="9"/>
  <c r="L152" i="9"/>
  <c r="C153" i="9"/>
  <c r="F153" i="9" s="1"/>
  <c r="D153" i="9"/>
  <c r="L153" i="9"/>
  <c r="N153" i="9"/>
  <c r="C154" i="9"/>
  <c r="D154" i="9"/>
  <c r="F154" i="9"/>
  <c r="H154" i="9"/>
  <c r="J154" i="9"/>
  <c r="L154" i="9"/>
  <c r="N154" i="9"/>
  <c r="C155" i="9"/>
  <c r="D155" i="9"/>
  <c r="F155" i="9"/>
  <c r="C156" i="9"/>
  <c r="H156" i="9" s="1"/>
  <c r="D156" i="9"/>
  <c r="C157" i="9"/>
  <c r="D157" i="9"/>
  <c r="F157" i="9"/>
  <c r="C158" i="9"/>
  <c r="H158" i="9" s="1"/>
  <c r="D158" i="9"/>
  <c r="F158" i="9"/>
  <c r="J158" i="9"/>
  <c r="C159" i="9"/>
  <c r="D159" i="9"/>
  <c r="F159" i="9"/>
  <c r="L159" i="9"/>
  <c r="N159" i="9"/>
  <c r="C160" i="9"/>
  <c r="D160" i="9"/>
  <c r="F160" i="9"/>
  <c r="L160" i="9"/>
  <c r="N160" i="9"/>
  <c r="C161" i="9"/>
  <c r="D161" i="9"/>
  <c r="F161" i="9"/>
  <c r="L161" i="9"/>
  <c r="N161" i="9"/>
  <c r="C162" i="9"/>
  <c r="D162" i="9"/>
  <c r="C163" i="9"/>
  <c r="D163" i="9"/>
  <c r="C164" i="9"/>
  <c r="L164" i="9" s="1"/>
  <c r="D164" i="9"/>
  <c r="F164" i="9"/>
  <c r="C165" i="9"/>
  <c r="D165" i="9"/>
  <c r="F165" i="9"/>
  <c r="J165" i="9"/>
  <c r="L165" i="9"/>
  <c r="C166" i="9"/>
  <c r="D166" i="9"/>
  <c r="F166" i="9"/>
  <c r="J166" i="9"/>
  <c r="L166" i="9"/>
  <c r="N166" i="9"/>
  <c r="C167" i="9"/>
  <c r="N167" i="9" s="1"/>
  <c r="D167" i="9"/>
  <c r="F167" i="9"/>
  <c r="J167" i="9"/>
  <c r="L167" i="9"/>
  <c r="C168" i="9"/>
  <c r="D168" i="9"/>
  <c r="F168" i="9"/>
  <c r="J168" i="9"/>
  <c r="L168" i="9"/>
  <c r="N168" i="9"/>
  <c r="C169" i="9"/>
  <c r="D169" i="9"/>
  <c r="C170" i="9"/>
  <c r="D170" i="9"/>
  <c r="C171" i="9"/>
  <c r="J171" i="9" s="1"/>
  <c r="D171" i="9"/>
  <c r="F171" i="9"/>
  <c r="N171" i="9"/>
  <c r="C172" i="9"/>
  <c r="D172" i="9"/>
  <c r="F172" i="9"/>
  <c r="J172" i="9"/>
  <c r="L172" i="9"/>
  <c r="N172" i="9"/>
  <c r="C173" i="9"/>
  <c r="D173" i="9"/>
  <c r="F173" i="9"/>
  <c r="J173" i="9"/>
  <c r="L173" i="9"/>
  <c r="N173" i="9"/>
  <c r="C174" i="9"/>
  <c r="N174" i="9" s="1"/>
  <c r="D174" i="9"/>
  <c r="F174" i="9"/>
  <c r="J174" i="9"/>
  <c r="C175" i="9"/>
  <c r="L175" i="9" s="1"/>
  <c r="D175" i="9"/>
  <c r="F175" i="9"/>
  <c r="J175" i="9"/>
  <c r="C176" i="9"/>
  <c r="L176" i="9" s="1"/>
  <c r="D176" i="9"/>
  <c r="F176" i="9"/>
  <c r="J176" i="9"/>
  <c r="C177" i="9"/>
  <c r="N177" i="9" s="1"/>
  <c r="D177" i="9"/>
  <c r="F177" i="9"/>
  <c r="J177" i="9"/>
  <c r="L177" i="9"/>
  <c r="C178" i="9"/>
  <c r="J178" i="9" s="1"/>
  <c r="D178" i="9"/>
  <c r="F178" i="9"/>
  <c r="L178" i="9"/>
  <c r="C179" i="9"/>
  <c r="N179" i="9" s="1"/>
  <c r="D179" i="9"/>
  <c r="F179" i="9"/>
  <c r="J179" i="9"/>
  <c r="L179" i="9"/>
  <c r="C180" i="9"/>
  <c r="D180" i="9"/>
  <c r="F180" i="9"/>
  <c r="J180" i="9"/>
  <c r="L180" i="9"/>
  <c r="C181" i="9"/>
  <c r="N181" i="9" s="1"/>
  <c r="D181" i="9"/>
  <c r="F181" i="9"/>
  <c r="J181" i="9"/>
  <c r="L181" i="9"/>
  <c r="C182" i="9"/>
  <c r="F182" i="9" s="1"/>
  <c r="D182" i="9"/>
  <c r="J182" i="9"/>
  <c r="L182" i="9"/>
  <c r="C183" i="9"/>
  <c r="D183" i="9"/>
  <c r="F183" i="9"/>
  <c r="J183" i="9"/>
  <c r="L183" i="9"/>
  <c r="C184" i="9"/>
  <c r="L184" i="9" s="1"/>
  <c r="D184" i="9"/>
  <c r="F184" i="9"/>
  <c r="J184" i="9"/>
  <c r="N184" i="9"/>
  <c r="C185" i="9"/>
  <c r="D185" i="9"/>
  <c r="F185" i="9"/>
  <c r="J185" i="9"/>
  <c r="L185" i="9"/>
  <c r="N185" i="9"/>
  <c r="C186" i="9"/>
  <c r="N186" i="9" s="1"/>
  <c r="D186" i="9"/>
  <c r="F186" i="9"/>
  <c r="J186" i="9"/>
  <c r="C187" i="9"/>
  <c r="L187" i="9" s="1"/>
  <c r="D187" i="9"/>
  <c r="F187" i="9"/>
  <c r="J187" i="9"/>
  <c r="N187" i="9"/>
  <c r="C188" i="9"/>
  <c r="J188" i="9" s="1"/>
  <c r="D188" i="9"/>
  <c r="F188" i="9"/>
  <c r="L188" i="9"/>
  <c r="C189" i="9"/>
  <c r="D189" i="9"/>
  <c r="C190" i="9"/>
  <c r="D190" i="9"/>
  <c r="F190" i="9"/>
  <c r="N190" i="9"/>
  <c r="C191" i="9"/>
  <c r="D191" i="9"/>
  <c r="C192" i="9"/>
  <c r="L192" i="9" s="1"/>
  <c r="D192" i="9"/>
  <c r="N192" i="9"/>
  <c r="C193" i="9"/>
  <c r="L193" i="9" s="1"/>
  <c r="D193" i="9"/>
  <c r="N193" i="9"/>
  <c r="C194" i="9"/>
  <c r="D194" i="9"/>
  <c r="J194" i="9"/>
  <c r="L194" i="9"/>
  <c r="N194" i="9"/>
  <c r="C195" i="9"/>
  <c r="D195" i="9"/>
  <c r="F195" i="9"/>
  <c r="J195" i="9"/>
  <c r="L195" i="9"/>
  <c r="N195" i="9"/>
  <c r="C196" i="9"/>
  <c r="D196" i="9"/>
  <c r="F196" i="9"/>
  <c r="J196" i="9"/>
  <c r="L196" i="9"/>
  <c r="N196" i="9"/>
  <c r="C197" i="9"/>
  <c r="N197" i="9" s="1"/>
  <c r="D197" i="9"/>
  <c r="F197" i="9"/>
  <c r="J197" i="9"/>
  <c r="L197" i="9"/>
  <c r="C198" i="9"/>
  <c r="L198" i="9" s="1"/>
  <c r="D198" i="9"/>
  <c r="F198" i="9"/>
  <c r="J198" i="9"/>
  <c r="C199" i="9"/>
  <c r="L199" i="9" s="1"/>
  <c r="D199" i="9"/>
  <c r="F199" i="9"/>
  <c r="J199" i="9"/>
  <c r="N199" i="9"/>
  <c r="C200" i="9"/>
  <c r="J200" i="9" s="1"/>
  <c r="D200" i="9"/>
  <c r="F200" i="9"/>
  <c r="C201" i="9"/>
  <c r="D201" i="9"/>
  <c r="F201" i="9"/>
  <c r="C202" i="9"/>
  <c r="D202" i="9"/>
  <c r="C203" i="9"/>
  <c r="D203" i="9"/>
  <c r="J203" i="9"/>
  <c r="C204" i="9"/>
  <c r="D204" i="9"/>
  <c r="L204" i="9"/>
  <c r="N204" i="9"/>
  <c r="C205" i="9"/>
  <c r="D205" i="9"/>
  <c r="C206" i="9"/>
  <c r="J206" i="9" s="1"/>
  <c r="D206" i="9"/>
  <c r="L206" i="9"/>
  <c r="C207" i="9"/>
  <c r="D207" i="9"/>
  <c r="F207" i="9"/>
  <c r="H207" i="9"/>
  <c r="J207" i="9"/>
  <c r="L207" i="9"/>
  <c r="N207" i="9"/>
  <c r="C208" i="9"/>
  <c r="D208" i="9"/>
  <c r="F208" i="9"/>
  <c r="H208" i="9"/>
  <c r="J208" i="9"/>
  <c r="L208" i="9"/>
  <c r="N208" i="9"/>
  <c r="C209" i="9"/>
  <c r="N209" i="9" s="1"/>
  <c r="D209" i="9"/>
  <c r="F209" i="9"/>
  <c r="H209" i="9"/>
  <c r="J209" i="9"/>
  <c r="L209" i="9"/>
  <c r="C210" i="9"/>
  <c r="D210" i="9"/>
  <c r="C211" i="9"/>
  <c r="L211" i="9" s="1"/>
  <c r="D211" i="9"/>
  <c r="F211" i="9"/>
  <c r="H211" i="9"/>
  <c r="J211" i="9"/>
  <c r="N211" i="9"/>
  <c r="C212" i="9"/>
  <c r="D212" i="9"/>
  <c r="F212" i="9"/>
  <c r="H212" i="9"/>
  <c r="C213" i="9"/>
  <c r="J213" i="9" s="1"/>
  <c r="D213" i="9"/>
  <c r="L213" i="9"/>
  <c r="C214" i="9"/>
  <c r="N214" i="9" s="1"/>
  <c r="D214" i="9"/>
  <c r="C215" i="9"/>
  <c r="H215" i="9" s="1"/>
  <c r="D215" i="9"/>
  <c r="F215" i="9"/>
  <c r="C216" i="9"/>
  <c r="D216" i="9"/>
  <c r="L216" i="9"/>
  <c r="C217" i="9"/>
  <c r="H217" i="9" s="1"/>
  <c r="D217" i="9"/>
  <c r="C218" i="9"/>
  <c r="D218" i="9"/>
  <c r="C219" i="9"/>
  <c r="D219" i="9"/>
  <c r="F219" i="9"/>
  <c r="H219" i="9"/>
  <c r="J219" i="9"/>
  <c r="L219" i="9"/>
  <c r="N219" i="9"/>
  <c r="C220" i="9"/>
  <c r="D220" i="9"/>
  <c r="F220" i="9"/>
  <c r="H220" i="9"/>
  <c r="J220" i="9"/>
  <c r="L220" i="9"/>
  <c r="N220" i="9"/>
  <c r="C221" i="9"/>
  <c r="N221" i="9" s="1"/>
  <c r="D221" i="9"/>
  <c r="F221" i="9"/>
  <c r="H221" i="9"/>
  <c r="J221" i="9"/>
  <c r="L221" i="9"/>
  <c r="C222" i="9"/>
  <c r="D222" i="9"/>
  <c r="F222" i="9"/>
  <c r="H222" i="9"/>
  <c r="J222" i="9"/>
  <c r="C223" i="9"/>
  <c r="L223" i="9" s="1"/>
  <c r="D223" i="9"/>
  <c r="F223" i="9"/>
  <c r="H223" i="9"/>
  <c r="J223" i="9"/>
  <c r="N223" i="9"/>
  <c r="C224" i="9"/>
  <c r="D224" i="9"/>
  <c r="C225" i="9"/>
  <c r="J225" i="9" s="1"/>
  <c r="D225" i="9"/>
  <c r="F225" i="9"/>
  <c r="C226" i="9"/>
  <c r="D226" i="9"/>
  <c r="F226" i="9"/>
  <c r="N226" i="9"/>
  <c r="C227" i="9"/>
  <c r="H227" i="9" s="1"/>
  <c r="D227" i="9"/>
  <c r="C228" i="9"/>
  <c r="L228" i="9" s="1"/>
  <c r="D228" i="9"/>
  <c r="C229" i="9"/>
  <c r="D229" i="9"/>
  <c r="H229" i="9"/>
  <c r="J229" i="9"/>
  <c r="C230" i="9"/>
  <c r="D230" i="9"/>
  <c r="J230" i="9"/>
  <c r="L230" i="9"/>
  <c r="N230" i="9"/>
  <c r="C231" i="9"/>
  <c r="D231" i="9"/>
  <c r="F231" i="9"/>
  <c r="H231" i="9"/>
  <c r="J231" i="9"/>
  <c r="L231" i="9"/>
  <c r="N231" i="9"/>
  <c r="C232" i="9"/>
  <c r="D232" i="9"/>
  <c r="F232" i="9"/>
  <c r="H232" i="9"/>
  <c r="J232" i="9"/>
  <c r="L232" i="9"/>
  <c r="N232" i="9"/>
  <c r="C233" i="9"/>
  <c r="N233" i="9" s="1"/>
  <c r="D233" i="9"/>
  <c r="F233" i="9"/>
  <c r="H233" i="9"/>
  <c r="J233" i="9"/>
  <c r="L233" i="9"/>
  <c r="C234" i="9"/>
  <c r="D234" i="9"/>
  <c r="C235" i="9"/>
  <c r="L235" i="9" s="1"/>
  <c r="D235" i="9"/>
  <c r="F235" i="9"/>
  <c r="H235" i="9"/>
  <c r="J235" i="9"/>
  <c r="N235" i="9"/>
  <c r="C236" i="9"/>
  <c r="D236" i="9"/>
  <c r="F236" i="9"/>
  <c r="H236" i="9"/>
  <c r="C237" i="9"/>
  <c r="J237" i="9" s="1"/>
  <c r="D237" i="9"/>
  <c r="L237" i="9"/>
  <c r="C238" i="9"/>
  <c r="D238" i="9"/>
  <c r="C239" i="9"/>
  <c r="H239" i="9" s="1"/>
  <c r="D239" i="9"/>
  <c r="F239" i="9"/>
  <c r="C240" i="9"/>
  <c r="D240" i="9"/>
  <c r="L240" i="9"/>
  <c r="C241" i="9"/>
  <c r="H241" i="9" s="1"/>
  <c r="D241" i="9"/>
  <c r="C242" i="9"/>
  <c r="J242" i="9" s="1"/>
  <c r="D242" i="9"/>
  <c r="C243" i="9"/>
  <c r="D243" i="9"/>
  <c r="E243" i="9"/>
  <c r="F243" i="9"/>
  <c r="H243" i="9"/>
  <c r="J243" i="9"/>
  <c r="L243" i="9"/>
  <c r="N243" i="9"/>
  <c r="C244" i="9"/>
  <c r="D244" i="9"/>
  <c r="E244" i="9"/>
  <c r="F244" i="9"/>
  <c r="H244" i="9"/>
  <c r="J244" i="9"/>
  <c r="L244" i="9"/>
  <c r="N244" i="9"/>
  <c r="C245" i="9"/>
  <c r="N245" i="9" s="1"/>
  <c r="D245" i="9"/>
  <c r="E245" i="9"/>
  <c r="H245" i="9"/>
  <c r="C246" i="9"/>
  <c r="L246" i="9" s="1"/>
  <c r="D246" i="9"/>
  <c r="E246" i="9"/>
  <c r="F246" i="9"/>
  <c r="J202" i="9" l="1"/>
  <c r="L202" i="9"/>
  <c r="L210" i="9"/>
  <c r="N210" i="9"/>
  <c r="F205" i="9"/>
  <c r="J205" i="9"/>
  <c r="H238" i="9"/>
  <c r="J238" i="9"/>
  <c r="L238" i="9"/>
  <c r="N241" i="9"/>
  <c r="N237" i="9"/>
  <c r="N227" i="9"/>
  <c r="N217" i="9"/>
  <c r="N213" i="9"/>
  <c r="F203" i="9"/>
  <c r="F218" i="9"/>
  <c r="H218" i="9"/>
  <c r="L234" i="9"/>
  <c r="N234" i="9"/>
  <c r="F229" i="9"/>
  <c r="N242" i="9"/>
  <c r="L241" i="9"/>
  <c r="H237" i="9"/>
  <c r="L227" i="9"/>
  <c r="N218" i="9"/>
  <c r="L217" i="9"/>
  <c r="H213" i="9"/>
  <c r="F192" i="9"/>
  <c r="J192" i="9"/>
  <c r="J190" i="9"/>
  <c r="L190" i="9"/>
  <c r="J227" i="9"/>
  <c r="F206" i="9"/>
  <c r="H206" i="9"/>
  <c r="H203" i="9"/>
  <c r="L203" i="9"/>
  <c r="J224" i="9"/>
  <c r="L224" i="9"/>
  <c r="N224" i="9"/>
  <c r="N238" i="9"/>
  <c r="N228" i="9"/>
  <c r="N246" i="9"/>
  <c r="L242" i="9"/>
  <c r="J241" i="9"/>
  <c r="F240" i="9"/>
  <c r="H240" i="9"/>
  <c r="J240" i="9"/>
  <c r="F237" i="9"/>
  <c r="J236" i="9"/>
  <c r="L236" i="9"/>
  <c r="N236" i="9"/>
  <c r="J234" i="9"/>
  <c r="F230" i="9"/>
  <c r="H230" i="9"/>
  <c r="F227" i="9"/>
  <c r="H226" i="9"/>
  <c r="J226" i="9"/>
  <c r="L226" i="9"/>
  <c r="L218" i="9"/>
  <c r="J217" i="9"/>
  <c r="F216" i="9"/>
  <c r="H216" i="9"/>
  <c r="J216" i="9"/>
  <c r="F213" i="9"/>
  <c r="J212" i="9"/>
  <c r="L212" i="9"/>
  <c r="N212" i="9"/>
  <c r="J210" i="9"/>
  <c r="N191" i="9"/>
  <c r="J162" i="9"/>
  <c r="F162" i="9"/>
  <c r="L162" i="9"/>
  <c r="N162" i="9"/>
  <c r="L245" i="9"/>
  <c r="J245" i="9"/>
  <c r="H224" i="9"/>
  <c r="L222" i="9"/>
  <c r="N222" i="9"/>
  <c r="N205" i="9"/>
  <c r="N202" i="9"/>
  <c r="J201" i="9"/>
  <c r="L201" i="9"/>
  <c r="N201" i="9"/>
  <c r="F189" i="9"/>
  <c r="F169" i="9"/>
  <c r="N169" i="9"/>
  <c r="J169" i="9"/>
  <c r="L169" i="9"/>
  <c r="H214" i="9"/>
  <c r="J214" i="9"/>
  <c r="L214" i="9"/>
  <c r="J246" i="9"/>
  <c r="N239" i="9"/>
  <c r="H234" i="9"/>
  <c r="N229" i="9"/>
  <c r="N225" i="9"/>
  <c r="J218" i="9"/>
  <c r="N215" i="9"/>
  <c r="H210" i="9"/>
  <c r="F228" i="9"/>
  <c r="H228" i="9"/>
  <c r="J228" i="9"/>
  <c r="F241" i="9"/>
  <c r="L225" i="9"/>
  <c r="F224" i="9"/>
  <c r="F217" i="9"/>
  <c r="F214" i="9"/>
  <c r="L205" i="9"/>
  <c r="F204" i="9"/>
  <c r="H204" i="9"/>
  <c r="J204" i="9"/>
  <c r="F202" i="9"/>
  <c r="F234" i="9"/>
  <c r="L229" i="9"/>
  <c r="H225" i="9"/>
  <c r="L215" i="9"/>
  <c r="F210" i="9"/>
  <c r="N206" i="9"/>
  <c r="F193" i="9"/>
  <c r="J193" i="9"/>
  <c r="J191" i="9"/>
  <c r="L191" i="9"/>
  <c r="F191" i="9"/>
  <c r="J189" i="9"/>
  <c r="L189" i="9"/>
  <c r="N189" i="9"/>
  <c r="F242" i="9"/>
  <c r="H242" i="9"/>
  <c r="F238" i="9"/>
  <c r="H246" i="9"/>
  <c r="L239" i="9"/>
  <c r="F245" i="9"/>
  <c r="N240" i="9"/>
  <c r="J239" i="9"/>
  <c r="N216" i="9"/>
  <c r="J215" i="9"/>
  <c r="H205" i="9"/>
  <c r="N203" i="9"/>
  <c r="H161" i="9"/>
  <c r="J161" i="9"/>
  <c r="L158" i="9"/>
  <c r="N155" i="9"/>
  <c r="H155" i="9"/>
  <c r="J150" i="9"/>
  <c r="J146" i="9"/>
  <c r="L129" i="9"/>
  <c r="L126" i="9"/>
  <c r="H126" i="9"/>
  <c r="J123" i="9"/>
  <c r="L123" i="9"/>
  <c r="L120" i="9"/>
  <c r="L138" i="9"/>
  <c r="F138" i="9"/>
  <c r="J134" i="9"/>
  <c r="L134" i="9"/>
  <c r="F134" i="9"/>
  <c r="F151" i="9"/>
  <c r="J151" i="9"/>
  <c r="J147" i="9"/>
  <c r="N143" i="9"/>
  <c r="J143" i="9"/>
  <c r="F170" i="9"/>
  <c r="F163" i="9"/>
  <c r="J163" i="9"/>
  <c r="L157" i="9"/>
  <c r="H157" i="9"/>
  <c r="L155" i="9"/>
  <c r="H153" i="9"/>
  <c r="N150" i="9"/>
  <c r="N146" i="9"/>
  <c r="H145" i="9"/>
  <c r="F139" i="9"/>
  <c r="L139" i="9"/>
  <c r="J135" i="9"/>
  <c r="L135" i="9"/>
  <c r="F135" i="9"/>
  <c r="F127" i="9"/>
  <c r="L127" i="9"/>
  <c r="H127" i="9"/>
  <c r="L124" i="9"/>
  <c r="L121" i="9"/>
  <c r="L109" i="9"/>
  <c r="F109" i="9"/>
  <c r="H109" i="9"/>
  <c r="J109" i="9"/>
  <c r="N109" i="9"/>
  <c r="L171" i="9"/>
  <c r="J164" i="9"/>
  <c r="N156" i="9"/>
  <c r="J152" i="9"/>
  <c r="F152" i="9"/>
  <c r="J148" i="9"/>
  <c r="J144" i="9"/>
  <c r="N129" i="9"/>
  <c r="N200" i="9"/>
  <c r="N188" i="9"/>
  <c r="L156" i="9"/>
  <c r="J155" i="9"/>
  <c r="L150" i="9"/>
  <c r="L146" i="9"/>
  <c r="N138" i="9"/>
  <c r="N134" i="9"/>
  <c r="N126" i="9"/>
  <c r="N123" i="9"/>
  <c r="N120" i="9"/>
  <c r="N170" i="9"/>
  <c r="N163" i="9"/>
  <c r="J159" i="9"/>
  <c r="H159" i="9"/>
  <c r="N157" i="9"/>
  <c r="N151" i="9"/>
  <c r="N147" i="9"/>
  <c r="H146" i="9"/>
  <c r="L140" i="9"/>
  <c r="L136" i="9"/>
  <c r="F136" i="9"/>
  <c r="J132" i="9"/>
  <c r="F132" i="9"/>
  <c r="J129" i="9"/>
  <c r="J120" i="9"/>
  <c r="F194" i="9"/>
  <c r="L170" i="9"/>
  <c r="J153" i="9"/>
  <c r="J138" i="9"/>
  <c r="L128" i="9"/>
  <c r="F128" i="9"/>
  <c r="H128" i="9"/>
  <c r="J126" i="9"/>
  <c r="H125" i="9"/>
  <c r="L125" i="9"/>
  <c r="L122" i="9"/>
  <c r="N119" i="9"/>
  <c r="L119" i="9"/>
  <c r="J156" i="9"/>
  <c r="H149" i="9"/>
  <c r="J149" i="9"/>
  <c r="L145" i="9"/>
  <c r="J145" i="9"/>
  <c r="L143" i="9"/>
  <c r="L186" i="9"/>
  <c r="N183" i="9"/>
  <c r="N182" i="9"/>
  <c r="N180" i="9"/>
  <c r="N178" i="9"/>
  <c r="N176" i="9"/>
  <c r="N175" i="9"/>
  <c r="N164" i="9"/>
  <c r="L163" i="9"/>
  <c r="H160" i="9"/>
  <c r="J160" i="9"/>
  <c r="N158" i="9"/>
  <c r="L151" i="9"/>
  <c r="F150" i="9"/>
  <c r="L147" i="9"/>
  <c r="F146" i="9"/>
  <c r="N139" i="9"/>
  <c r="N135" i="9"/>
  <c r="H134" i="9"/>
  <c r="H129" i="9"/>
  <c r="H123" i="9"/>
  <c r="H120" i="9"/>
  <c r="L200" i="9"/>
  <c r="N198" i="9"/>
  <c r="L174" i="9"/>
  <c r="J170" i="9"/>
  <c r="N165" i="9"/>
  <c r="J157" i="9"/>
  <c r="F156" i="9"/>
  <c r="N152" i="9"/>
  <c r="N148" i="9"/>
  <c r="H147" i="9"/>
  <c r="N144" i="9"/>
  <c r="H143" i="9"/>
  <c r="J141" i="9"/>
  <c r="F141" i="9"/>
  <c r="H138" i="9"/>
  <c r="H137" i="9"/>
  <c r="L137" i="9"/>
  <c r="F137" i="9"/>
  <c r="L133" i="9"/>
  <c r="J133" i="9"/>
  <c r="F133" i="9"/>
  <c r="F129" i="9"/>
  <c r="N127" i="9"/>
  <c r="F126" i="9"/>
  <c r="N124" i="9"/>
  <c r="F123" i="9"/>
  <c r="N121" i="9"/>
  <c r="F120" i="9"/>
  <c r="L116" i="9"/>
  <c r="F116" i="9"/>
  <c r="H116" i="9"/>
  <c r="L100" i="9"/>
  <c r="J100" i="9"/>
  <c r="F98" i="9"/>
  <c r="J106" i="9"/>
  <c r="H103" i="9"/>
  <c r="N103" i="9"/>
  <c r="F131" i="9"/>
  <c r="H100" i="9"/>
  <c r="H106" i="9"/>
  <c r="L102" i="9"/>
  <c r="N111" i="9"/>
  <c r="F100" i="9"/>
  <c r="F115" i="9"/>
  <c r="L110" i="9"/>
  <c r="F105" i="9"/>
  <c r="N105" i="9"/>
  <c r="L103" i="9"/>
  <c r="J102" i="9"/>
  <c r="L99" i="9"/>
  <c r="N99" i="9"/>
  <c r="H102" i="9"/>
  <c r="L98" i="9"/>
  <c r="N106" i="9"/>
  <c r="L114" i="9"/>
  <c r="J112" i="9"/>
  <c r="F110" i="9"/>
  <c r="L105" i="9"/>
  <c r="J104" i="9"/>
  <c r="J101" i="9"/>
  <c r="N101" i="9"/>
  <c r="J131" i="9"/>
  <c r="L115" i="9"/>
  <c r="J113" i="9"/>
  <c r="F111" i="9"/>
  <c r="F103" i="9"/>
  <c r="J99" i="9"/>
  <c r="H98" i="9"/>
  <c r="H46" i="9"/>
  <c r="J46" i="9"/>
  <c r="L46" i="9"/>
  <c r="N46" i="9"/>
  <c r="F72" i="9"/>
  <c r="J72" i="9"/>
  <c r="F59" i="9"/>
  <c r="H59" i="9"/>
  <c r="L59" i="9"/>
  <c r="F57" i="9"/>
  <c r="H57" i="9"/>
  <c r="L57" i="9"/>
  <c r="F55" i="9"/>
  <c r="H55" i="9"/>
  <c r="L55" i="9"/>
  <c r="H45" i="9"/>
  <c r="J45" i="9"/>
  <c r="L45" i="9"/>
  <c r="N45" i="9"/>
  <c r="H48" i="9"/>
  <c r="L48" i="9"/>
  <c r="N48" i="9"/>
  <c r="N72" i="9"/>
  <c r="F60" i="9"/>
  <c r="H60" i="9"/>
  <c r="J60" i="9"/>
  <c r="F58" i="9"/>
  <c r="H58" i="9"/>
  <c r="L58" i="9"/>
  <c r="H56" i="9"/>
  <c r="F56" i="9"/>
  <c r="L56" i="9"/>
  <c r="F71" i="9"/>
  <c r="H71" i="9"/>
  <c r="J71" i="9"/>
  <c r="N59" i="9"/>
  <c r="N57" i="9"/>
  <c r="N55" i="9"/>
  <c r="H47" i="9"/>
  <c r="J47" i="9"/>
  <c r="L47" i="9"/>
  <c r="N47" i="9"/>
  <c r="H72" i="9"/>
  <c r="J59" i="9"/>
  <c r="J57" i="9"/>
  <c r="J55" i="9"/>
  <c r="J11" i="9"/>
  <c r="N44" i="9"/>
  <c r="N43" i="9"/>
  <c r="N42" i="9"/>
  <c r="N41" i="9"/>
  <c r="N40" i="9"/>
  <c r="N39" i="9"/>
  <c r="N9" i="9"/>
  <c r="L54" i="9"/>
  <c r="L53" i="9"/>
  <c r="L39" i="9"/>
  <c r="L38" i="9"/>
  <c r="N35" i="9"/>
  <c r="N34" i="9"/>
  <c r="N33" i="9"/>
  <c r="N32" i="9"/>
  <c r="N31" i="9"/>
  <c r="N30" i="9"/>
  <c r="N29" i="9"/>
  <c r="N28" i="9"/>
  <c r="N27" i="9"/>
  <c r="N24" i="9"/>
  <c r="N10" i="9"/>
  <c r="F4" i="9"/>
  <c r="L4" i="9"/>
  <c r="J70" i="9"/>
  <c r="J69" i="9"/>
  <c r="J68" i="9"/>
  <c r="J67" i="9"/>
  <c r="J53" i="9"/>
  <c r="J52" i="9"/>
  <c r="J51" i="9"/>
  <c r="J50" i="9"/>
  <c r="L44" i="9"/>
  <c r="L43" i="9"/>
  <c r="L42" i="9"/>
  <c r="L41" i="9"/>
  <c r="L36" i="9"/>
  <c r="L27" i="9"/>
  <c r="L26" i="9"/>
  <c r="N23" i="9"/>
  <c r="N22" i="9"/>
  <c r="N21" i="9"/>
  <c r="N20" i="9"/>
  <c r="N19" i="9"/>
  <c r="N18" i="9"/>
  <c r="N17" i="9"/>
  <c r="N16" i="9"/>
  <c r="N15" i="9"/>
  <c r="N11" i="9"/>
  <c r="N7" i="9"/>
  <c r="F7" i="9"/>
  <c r="J7" i="9"/>
  <c r="L24" i="9"/>
  <c r="L10" i="9"/>
  <c r="H70" i="9"/>
  <c r="H69" i="9"/>
  <c r="H54" i="9"/>
  <c r="H53" i="9"/>
  <c r="H52" i="9"/>
  <c r="H51" i="9"/>
  <c r="H50" i="9"/>
  <c r="J44" i="9"/>
  <c r="J43" i="9"/>
  <c r="J36" i="9"/>
  <c r="J29" i="9"/>
  <c r="J28" i="9"/>
  <c r="J27" i="9"/>
  <c r="J26" i="9"/>
  <c r="L23" i="9"/>
  <c r="L22" i="9"/>
  <c r="L21" i="9"/>
  <c r="L20" i="9"/>
  <c r="L19" i="9"/>
  <c r="L18" i="9"/>
  <c r="L17" i="9"/>
  <c r="L12" i="9"/>
  <c r="L11" i="9"/>
  <c r="J10" i="9"/>
  <c r="F69" i="9"/>
  <c r="F68" i="9"/>
  <c r="F67" i="9"/>
  <c r="F66" i="9"/>
  <c r="F65" i="9"/>
  <c r="F64" i="9"/>
  <c r="F63" i="9"/>
  <c r="F62" i="9"/>
  <c r="H43" i="9"/>
  <c r="H42" i="9"/>
  <c r="H41" i="9"/>
  <c r="H40" i="9"/>
  <c r="H39" i="9"/>
  <c r="H38" i="9"/>
  <c r="J35" i="9"/>
  <c r="J34" i="9"/>
  <c r="J33" i="9"/>
  <c r="J32" i="9"/>
  <c r="J31" i="9"/>
  <c r="J24" i="9"/>
  <c r="J17" i="9"/>
  <c r="J16" i="9"/>
  <c r="J15" i="9"/>
  <c r="J14" i="9"/>
  <c r="F9" i="9"/>
  <c r="H8" i="9"/>
  <c r="F54" i="9"/>
  <c r="F53" i="9"/>
  <c r="H36" i="9"/>
  <c r="H31" i="9"/>
  <c r="H30" i="9"/>
  <c r="H29" i="9"/>
  <c r="H28" i="9"/>
  <c r="H27" i="9"/>
  <c r="H26" i="9"/>
  <c r="J23" i="9"/>
  <c r="J22" i="9"/>
  <c r="J21" i="9"/>
  <c r="J20" i="9"/>
  <c r="J19" i="9"/>
  <c r="J12" i="9"/>
  <c r="H10" i="9"/>
  <c r="F5" i="9"/>
  <c r="H5" i="9"/>
  <c r="L5" i="9"/>
  <c r="H35" i="9"/>
  <c r="H34" i="9"/>
  <c r="H33" i="9"/>
  <c r="H18" i="9"/>
  <c r="H16" i="9"/>
  <c r="H14" i="9"/>
  <c r="H11" i="9"/>
  <c r="H23" i="9"/>
  <c r="H22" i="9"/>
  <c r="L9" i="9"/>
  <c r="H9" i="9"/>
  <c r="L7" i="9"/>
  <c r="N4" i="9"/>
  <c r="F3" i="9"/>
  <c r="H3" i="9"/>
  <c r="J3" i="9"/>
  <c r="N3" i="9"/>
  <c r="H30" i="10"/>
  <c r="C249" i="9" l="1"/>
  <c r="E249" i="9" s="1"/>
  <c r="D249" i="9"/>
  <c r="C250" i="9"/>
  <c r="N250" i="9" s="1"/>
  <c r="D250" i="9"/>
  <c r="C251" i="9"/>
  <c r="E251" i="9" s="1"/>
  <c r="D251" i="9"/>
  <c r="C252" i="9"/>
  <c r="D252" i="9"/>
  <c r="C253" i="9"/>
  <c r="E253" i="9" s="1"/>
  <c r="D253" i="9"/>
  <c r="C254" i="9"/>
  <c r="D254" i="9"/>
  <c r="C255" i="9"/>
  <c r="E255" i="9" s="1"/>
  <c r="D255" i="9"/>
  <c r="C256" i="9"/>
  <c r="D256" i="9"/>
  <c r="C257" i="9"/>
  <c r="E257" i="9" s="1"/>
  <c r="D257" i="9"/>
  <c r="C258" i="9"/>
  <c r="D258" i="9"/>
  <c r="C259" i="9"/>
  <c r="E259" i="9" s="1"/>
  <c r="D259" i="9"/>
  <c r="C260" i="9"/>
  <c r="D260" i="9"/>
  <c r="C261" i="9"/>
  <c r="E261" i="9" s="1"/>
  <c r="D261" i="9"/>
  <c r="C262" i="9"/>
  <c r="D262" i="9"/>
  <c r="C263" i="9"/>
  <c r="E263" i="9" s="1"/>
  <c r="D263" i="9"/>
  <c r="C264" i="9"/>
  <c r="D264" i="9"/>
  <c r="C265" i="9"/>
  <c r="E265" i="9" s="1"/>
  <c r="D265" i="9"/>
  <c r="C266" i="9"/>
  <c r="D266" i="9"/>
  <c r="C267" i="9"/>
  <c r="E267" i="9" s="1"/>
  <c r="D267" i="9"/>
  <c r="C268" i="9"/>
  <c r="D268" i="9"/>
  <c r="C269" i="9"/>
  <c r="E269" i="9" s="1"/>
  <c r="D269" i="9"/>
  <c r="C270" i="9"/>
  <c r="D270" i="9"/>
  <c r="C271" i="9"/>
  <c r="E271" i="9" s="1"/>
  <c r="D271" i="9"/>
  <c r="C272" i="9"/>
  <c r="D272" i="9"/>
  <c r="C273" i="9"/>
  <c r="E273" i="9" s="1"/>
  <c r="D273" i="9"/>
  <c r="C274" i="9"/>
  <c r="D274" i="9"/>
  <c r="C275" i="9"/>
  <c r="E275" i="9" s="1"/>
  <c r="D275" i="9"/>
  <c r="C276" i="9"/>
  <c r="D276" i="9"/>
  <c r="C277" i="9"/>
  <c r="E277" i="9" s="1"/>
  <c r="D277" i="9"/>
  <c r="C278" i="9"/>
  <c r="D278" i="9"/>
  <c r="C279" i="9"/>
  <c r="E279" i="9" s="1"/>
  <c r="D279" i="9"/>
  <c r="C280" i="9"/>
  <c r="D280" i="9"/>
  <c r="C281" i="9"/>
  <c r="E281" i="9" s="1"/>
  <c r="D281" i="9"/>
  <c r="C282" i="9"/>
  <c r="D282" i="9"/>
  <c r="C283" i="9"/>
  <c r="E283" i="9" s="1"/>
  <c r="D283" i="9"/>
  <c r="C284" i="9"/>
  <c r="D284" i="9"/>
  <c r="C285" i="9"/>
  <c r="E285" i="9" s="1"/>
  <c r="D285" i="9"/>
  <c r="C286" i="9"/>
  <c r="D286" i="9"/>
  <c r="C287" i="9"/>
  <c r="E287" i="9" s="1"/>
  <c r="D287" i="9"/>
  <c r="C288" i="9"/>
  <c r="D288" i="9"/>
  <c r="C289" i="9"/>
  <c r="E289" i="9" s="1"/>
  <c r="D289" i="9"/>
  <c r="C290" i="9"/>
  <c r="D290" i="9"/>
  <c r="C291" i="9"/>
  <c r="E291" i="9" s="1"/>
  <c r="D291" i="9"/>
  <c r="C292" i="9"/>
  <c r="E292" i="9" s="1"/>
  <c r="D292" i="9"/>
  <c r="C293" i="9"/>
  <c r="E293" i="9" s="1"/>
  <c r="D293" i="9"/>
  <c r="C294" i="9"/>
  <c r="E294" i="9" s="1"/>
  <c r="D294" i="9"/>
  <c r="C295" i="9"/>
  <c r="E295" i="9" s="1"/>
  <c r="D295" i="9"/>
  <c r="C296" i="9"/>
  <c r="E296" i="9" s="1"/>
  <c r="D296" i="9"/>
  <c r="C297" i="9"/>
  <c r="E297" i="9" s="1"/>
  <c r="D297" i="9"/>
  <c r="C298" i="9"/>
  <c r="E298" i="9" s="1"/>
  <c r="D298" i="9"/>
  <c r="C299" i="9"/>
  <c r="E299" i="9" s="1"/>
  <c r="D299" i="9"/>
  <c r="C300" i="9"/>
  <c r="E300" i="9" s="1"/>
  <c r="D300" i="9"/>
  <c r="C301" i="9"/>
  <c r="E301" i="9" s="1"/>
  <c r="D301" i="9"/>
  <c r="D2" i="9"/>
  <c r="C2" i="9"/>
  <c r="F249" i="9"/>
  <c r="H249" i="9"/>
  <c r="J249" i="9"/>
  <c r="L249" i="9"/>
  <c r="N249" i="9"/>
  <c r="H250" i="9"/>
  <c r="L250" i="9"/>
  <c r="F251" i="9"/>
  <c r="J251" i="9"/>
  <c r="L251" i="9"/>
  <c r="N251" i="9"/>
  <c r="H252" i="9"/>
  <c r="J252" i="9"/>
  <c r="L252" i="9"/>
  <c r="F253" i="9"/>
  <c r="H253" i="9"/>
  <c r="J253" i="9"/>
  <c r="L253" i="9"/>
  <c r="N253" i="9"/>
  <c r="F254" i="9"/>
  <c r="H254" i="9"/>
  <c r="L254" i="9"/>
  <c r="F255" i="9"/>
  <c r="H255" i="9"/>
  <c r="J255" i="9"/>
  <c r="L255" i="9"/>
  <c r="N255" i="9"/>
  <c r="H256" i="9"/>
  <c r="J256" i="9"/>
  <c r="H257" i="9"/>
  <c r="L257" i="9"/>
  <c r="N257" i="9"/>
  <c r="F258" i="9"/>
  <c r="H258" i="9"/>
  <c r="N258" i="9"/>
  <c r="F259" i="9"/>
  <c r="H259" i="9"/>
  <c r="J259" i="9"/>
  <c r="L259" i="9"/>
  <c r="N259" i="9"/>
  <c r="H260" i="9"/>
  <c r="L260" i="9"/>
  <c r="F261" i="9"/>
  <c r="H261" i="9"/>
  <c r="J261" i="9"/>
  <c r="L261" i="9"/>
  <c r="N261" i="9"/>
  <c r="F262" i="9"/>
  <c r="L262" i="9"/>
  <c r="N262" i="9"/>
  <c r="F263" i="9"/>
  <c r="J263" i="9"/>
  <c r="N263" i="9"/>
  <c r="J264" i="9"/>
  <c r="L264" i="9"/>
  <c r="F265" i="9"/>
  <c r="H265" i="9"/>
  <c r="J265" i="9"/>
  <c r="L265" i="9"/>
  <c r="N265" i="9"/>
  <c r="H266" i="9"/>
  <c r="L266" i="9"/>
  <c r="N266" i="9"/>
  <c r="H267" i="9"/>
  <c r="J267" i="9"/>
  <c r="L267" i="9"/>
  <c r="N267" i="9"/>
  <c r="H268" i="9"/>
  <c r="J268" i="9"/>
  <c r="L268" i="9"/>
  <c r="F269" i="9"/>
  <c r="H269" i="9"/>
  <c r="L269" i="9"/>
  <c r="F270" i="9"/>
  <c r="H270" i="9"/>
  <c r="L270" i="9"/>
  <c r="F271" i="9"/>
  <c r="H271" i="9"/>
  <c r="J271" i="9"/>
  <c r="L271" i="9"/>
  <c r="N271" i="9"/>
  <c r="H272" i="9"/>
  <c r="J272" i="9"/>
  <c r="F273" i="9"/>
  <c r="J273" i="9"/>
  <c r="L273" i="9"/>
  <c r="N273" i="9"/>
  <c r="F274" i="9"/>
  <c r="H274" i="9"/>
  <c r="N274" i="9"/>
  <c r="F275" i="9"/>
  <c r="H275" i="9"/>
  <c r="J275" i="9"/>
  <c r="N275" i="9"/>
  <c r="H276" i="9"/>
  <c r="L276" i="9"/>
  <c r="F277" i="9"/>
  <c r="H277" i="9"/>
  <c r="J277" i="9"/>
  <c r="L277" i="9"/>
  <c r="N277" i="9"/>
  <c r="F278" i="9"/>
  <c r="L278" i="9"/>
  <c r="N278" i="9"/>
  <c r="H279" i="9"/>
  <c r="L279" i="9"/>
  <c r="N279" i="9"/>
  <c r="J280" i="9"/>
  <c r="L280" i="9"/>
  <c r="F281" i="9"/>
  <c r="H281" i="9"/>
  <c r="J281" i="9"/>
  <c r="L281" i="9"/>
  <c r="N281" i="9"/>
  <c r="H282" i="9"/>
  <c r="L282" i="9"/>
  <c r="N282" i="9"/>
  <c r="F283" i="9"/>
  <c r="H283" i="9"/>
  <c r="J283" i="9"/>
  <c r="L283" i="9"/>
  <c r="N283" i="9"/>
  <c r="H284" i="9"/>
  <c r="J284" i="9"/>
  <c r="L284" i="9"/>
  <c r="F285" i="9"/>
  <c r="J285" i="9"/>
  <c r="N285" i="9"/>
  <c r="F286" i="9"/>
  <c r="H286" i="9"/>
  <c r="L286" i="9"/>
  <c r="F287" i="9"/>
  <c r="H287" i="9"/>
  <c r="J287" i="9"/>
  <c r="L287" i="9"/>
  <c r="N287" i="9"/>
  <c r="H288" i="9"/>
  <c r="J288" i="9"/>
  <c r="H289" i="9"/>
  <c r="J289" i="9"/>
  <c r="L289" i="9"/>
  <c r="N289" i="9"/>
  <c r="F290" i="9"/>
  <c r="H290" i="9"/>
  <c r="N290" i="9"/>
  <c r="F291" i="9"/>
  <c r="H291" i="9"/>
  <c r="L291" i="9"/>
  <c r="F292" i="9"/>
  <c r="J292" i="9"/>
  <c r="L292" i="9"/>
  <c r="N292" i="9"/>
  <c r="F293" i="9"/>
  <c r="H293" i="9"/>
  <c r="J293" i="9"/>
  <c r="L293" i="9"/>
  <c r="N293" i="9"/>
  <c r="F294" i="9"/>
  <c r="H294" i="9"/>
  <c r="J294" i="9"/>
  <c r="N294" i="9"/>
  <c r="F295" i="9"/>
  <c r="H295" i="9"/>
  <c r="J295" i="9"/>
  <c r="L295" i="9"/>
  <c r="N295" i="9"/>
  <c r="F296" i="9"/>
  <c r="J296" i="9"/>
  <c r="L296" i="9"/>
  <c r="N296" i="9"/>
  <c r="F297" i="9"/>
  <c r="J297" i="9"/>
  <c r="L297" i="9"/>
  <c r="N297" i="9"/>
  <c r="F298" i="9"/>
  <c r="H298" i="9"/>
  <c r="J298" i="9"/>
  <c r="N298" i="9"/>
  <c r="F299" i="9"/>
  <c r="H299" i="9"/>
  <c r="L299" i="9"/>
  <c r="F300" i="9"/>
  <c r="J300" i="9"/>
  <c r="L300" i="9"/>
  <c r="N300" i="9"/>
  <c r="F301" i="9"/>
  <c r="H301" i="9"/>
  <c r="J301" i="9"/>
  <c r="L301" i="9"/>
  <c r="N301" i="9"/>
  <c r="J299" i="9" l="1"/>
  <c r="J291" i="9"/>
  <c r="H285" i="9"/>
  <c r="F279" i="9"/>
  <c r="L275" i="9"/>
  <c r="J269" i="9"/>
  <c r="H263" i="9"/>
  <c r="F257" i="9"/>
  <c r="N299" i="9"/>
  <c r="H297" i="9"/>
  <c r="N291" i="9"/>
  <c r="F289" i="9"/>
  <c r="L285" i="9"/>
  <c r="J279" i="9"/>
  <c r="H273" i="9"/>
  <c r="N269" i="9"/>
  <c r="F267" i="9"/>
  <c r="L263" i="9"/>
  <c r="J257" i="9"/>
  <c r="H251" i="9"/>
  <c r="E290" i="9"/>
  <c r="J290" i="9"/>
  <c r="E288" i="9"/>
  <c r="F288" i="9"/>
  <c r="N288" i="9"/>
  <c r="E286" i="9"/>
  <c r="J286" i="9"/>
  <c r="E284" i="9"/>
  <c r="F284" i="9"/>
  <c r="N284" i="9"/>
  <c r="E282" i="9"/>
  <c r="J282" i="9"/>
  <c r="E280" i="9"/>
  <c r="F280" i="9"/>
  <c r="N280" i="9"/>
  <c r="E278" i="9"/>
  <c r="J278" i="9"/>
  <c r="E276" i="9"/>
  <c r="F276" i="9"/>
  <c r="N276" i="9"/>
  <c r="E274" i="9"/>
  <c r="J274" i="9"/>
  <c r="E272" i="9"/>
  <c r="F272" i="9"/>
  <c r="N272" i="9"/>
  <c r="E270" i="9"/>
  <c r="J270" i="9"/>
  <c r="E268" i="9"/>
  <c r="F268" i="9"/>
  <c r="N268" i="9"/>
  <c r="E266" i="9"/>
  <c r="J266" i="9"/>
  <c r="E264" i="9"/>
  <c r="F264" i="9"/>
  <c r="N264" i="9"/>
  <c r="E262" i="9"/>
  <c r="J262" i="9"/>
  <c r="E260" i="9"/>
  <c r="F260" i="9"/>
  <c r="N260" i="9"/>
  <c r="E258" i="9"/>
  <c r="J258" i="9"/>
  <c r="E256" i="9"/>
  <c r="F256" i="9"/>
  <c r="N256" i="9"/>
  <c r="E254" i="9"/>
  <c r="J254" i="9"/>
  <c r="E252" i="9"/>
  <c r="F252" i="9"/>
  <c r="N252" i="9"/>
  <c r="E250" i="9"/>
  <c r="J250" i="9"/>
  <c r="H300" i="9"/>
  <c r="L298" i="9"/>
  <c r="H296" i="9"/>
  <c r="L294" i="9"/>
  <c r="H292" i="9"/>
  <c r="L290" i="9"/>
  <c r="L288" i="9"/>
  <c r="N286" i="9"/>
  <c r="F282" i="9"/>
  <c r="H280" i="9"/>
  <c r="H278" i="9"/>
  <c r="J276" i="9"/>
  <c r="L274" i="9"/>
  <c r="L272" i="9"/>
  <c r="N270" i="9"/>
  <c r="F266" i="9"/>
  <c r="H264" i="9"/>
  <c r="H262" i="9"/>
  <c r="J260" i="9"/>
  <c r="L258" i="9"/>
  <c r="L256" i="9"/>
  <c r="N254" i="9"/>
  <c r="F250" i="9"/>
  <c r="R2" i="9"/>
  <c r="E6" i="9" l="1"/>
  <c r="E37" i="9"/>
  <c r="F37" i="9" s="1"/>
  <c r="E49" i="9"/>
  <c r="F49" i="9" s="1"/>
  <c r="E61" i="9"/>
  <c r="E62" i="9"/>
  <c r="E73" i="9"/>
  <c r="E74" i="9"/>
  <c r="E75" i="9"/>
  <c r="E76" i="9"/>
  <c r="E77" i="9"/>
  <c r="E78" i="9"/>
  <c r="E79" i="9"/>
  <c r="E80" i="9"/>
  <c r="E12" i="9"/>
  <c r="F12" i="9" s="1"/>
  <c r="E13" i="9"/>
  <c r="F13" i="9" s="1"/>
  <c r="E14" i="9"/>
  <c r="F14" i="9" s="1"/>
  <c r="E15" i="9"/>
  <c r="F15" i="9" s="1"/>
  <c r="E16" i="9"/>
  <c r="F16" i="9" s="1"/>
  <c r="E17" i="9"/>
  <c r="F17" i="9" s="1"/>
  <c r="E18" i="9"/>
  <c r="F18" i="9" s="1"/>
  <c r="E19" i="9"/>
  <c r="F19" i="9" s="1"/>
  <c r="E20" i="9"/>
  <c r="F20" i="9" s="1"/>
  <c r="E21" i="9"/>
  <c r="F21" i="9" s="1"/>
  <c r="E22" i="9"/>
  <c r="F22" i="9" s="1"/>
  <c r="E24" i="9"/>
  <c r="F24" i="9" s="1"/>
  <c r="E25" i="9"/>
  <c r="F25" i="9" s="1"/>
  <c r="E26" i="9"/>
  <c r="F26" i="9" s="1"/>
  <c r="E27" i="9"/>
  <c r="F27" i="9" s="1"/>
  <c r="E28" i="9"/>
  <c r="F28" i="9" s="1"/>
  <c r="E29" i="9"/>
  <c r="F29" i="9" s="1"/>
  <c r="E30" i="9"/>
  <c r="F30" i="9" s="1"/>
  <c r="E31" i="9"/>
  <c r="F31" i="9" s="1"/>
  <c r="E32" i="9"/>
  <c r="F32" i="9" s="1"/>
  <c r="E85" i="9"/>
  <c r="E96" i="9"/>
  <c r="E95" i="9"/>
  <c r="E88" i="9"/>
  <c r="E94" i="9"/>
  <c r="E108" i="9"/>
  <c r="E93" i="9"/>
  <c r="E101" i="9"/>
  <c r="E107" i="9"/>
  <c r="E87" i="9"/>
  <c r="E92" i="9"/>
  <c r="E117" i="9"/>
  <c r="E118" i="9"/>
  <c r="E91" i="9"/>
  <c r="E99" i="9"/>
  <c r="E105" i="9"/>
  <c r="E142" i="9"/>
  <c r="E86" i="9"/>
  <c r="E90" i="9"/>
  <c r="E98" i="9"/>
  <c r="E104" i="9"/>
  <c r="E112" i="9"/>
  <c r="E89" i="9"/>
  <c r="E97" i="9"/>
  <c r="E103" i="9"/>
  <c r="E207" i="9"/>
  <c r="E219" i="9"/>
  <c r="E231" i="9"/>
  <c r="E168" i="9"/>
  <c r="H168" i="9" s="1"/>
  <c r="E133" i="9"/>
  <c r="E137" i="9"/>
  <c r="E141" i="9"/>
  <c r="E154" i="9"/>
  <c r="E195" i="9"/>
  <c r="H195" i="9" s="1"/>
  <c r="E111" i="9"/>
  <c r="E160" i="9"/>
  <c r="E167" i="9"/>
  <c r="H167" i="9" s="1"/>
  <c r="E196" i="9"/>
  <c r="H196" i="9" s="1"/>
  <c r="E166" i="9"/>
  <c r="H166" i="9" s="1"/>
  <c r="E132" i="9"/>
  <c r="E136" i="9"/>
  <c r="E159" i="9"/>
  <c r="E165" i="9"/>
  <c r="H165" i="9" s="1"/>
  <c r="E173" i="9"/>
  <c r="H173" i="9" s="1"/>
  <c r="E174" i="9"/>
  <c r="H174" i="9" s="1"/>
  <c r="E175" i="9"/>
  <c r="H175" i="9" s="1"/>
  <c r="E176" i="9"/>
  <c r="H176" i="9" s="1"/>
  <c r="E177" i="9"/>
  <c r="H177" i="9" s="1"/>
  <c r="E178" i="9"/>
  <c r="H178" i="9" s="1"/>
  <c r="E179" i="9"/>
  <c r="H179" i="9" s="1"/>
  <c r="E180" i="9"/>
  <c r="H180" i="9" s="1"/>
  <c r="E181" i="9"/>
  <c r="H181" i="9" s="1"/>
  <c r="E182" i="9"/>
  <c r="H182" i="9" s="1"/>
  <c r="E184" i="9"/>
  <c r="H184" i="9" s="1"/>
  <c r="E158" i="9"/>
  <c r="E131" i="9"/>
  <c r="E135" i="9"/>
  <c r="E139" i="9"/>
  <c r="E130" i="9"/>
  <c r="E157" i="9"/>
  <c r="E200" i="9"/>
  <c r="H200" i="9" s="1"/>
  <c r="E186" i="9"/>
  <c r="H186" i="9" s="1"/>
  <c r="E199" i="9"/>
  <c r="H199" i="9" s="1"/>
  <c r="E208" i="9"/>
  <c r="E232" i="9"/>
  <c r="E223" i="9"/>
  <c r="E185" i="9"/>
  <c r="H185" i="9" s="1"/>
  <c r="E222" i="9"/>
  <c r="E235" i="9"/>
  <c r="E239" i="9"/>
  <c r="E201" i="9"/>
  <c r="H201" i="9" s="1"/>
  <c r="E212" i="9"/>
  <c r="E216" i="9"/>
  <c r="E226" i="9"/>
  <c r="E236" i="9"/>
  <c r="E240" i="9"/>
  <c r="E172" i="9"/>
  <c r="H172" i="9" s="1"/>
  <c r="E188" i="9"/>
  <c r="H188" i="9" s="1"/>
  <c r="E225" i="9"/>
  <c r="E163" i="9"/>
  <c r="H163" i="9" s="1"/>
  <c r="E220" i="9"/>
  <c r="E215" i="9"/>
  <c r="E211" i="9"/>
  <c r="E187" i="9"/>
  <c r="H187" i="9" s="1"/>
  <c r="E192" i="9"/>
  <c r="H192" i="9" s="1"/>
  <c r="E193" i="9"/>
  <c r="H193" i="9" s="1"/>
  <c r="E238" i="9"/>
  <c r="E156" i="9"/>
  <c r="E120" i="9"/>
  <c r="E149" i="9"/>
  <c r="E115" i="9"/>
  <c r="E58" i="9"/>
  <c r="E11" i="9"/>
  <c r="E230" i="9"/>
  <c r="E127" i="9"/>
  <c r="E128" i="9"/>
  <c r="E119" i="9"/>
  <c r="E57" i="9"/>
  <c r="E204" i="9"/>
  <c r="E169" i="9"/>
  <c r="H169" i="9" s="1"/>
  <c r="E217" i="9"/>
  <c r="E228" i="9"/>
  <c r="E143" i="9"/>
  <c r="E191" i="9"/>
  <c r="H191" i="9" s="1"/>
  <c r="E138" i="9"/>
  <c r="E152" i="9"/>
  <c r="E145" i="9"/>
  <c r="E189" i="9"/>
  <c r="H189" i="9" s="1"/>
  <c r="E206" i="9"/>
  <c r="E224" i="9"/>
  <c r="E150" i="9"/>
  <c r="E129" i="9"/>
  <c r="E124" i="9"/>
  <c r="E116" i="9"/>
  <c r="E72" i="9"/>
  <c r="E134" i="9"/>
  <c r="E237" i="9"/>
  <c r="E234" i="9"/>
  <c r="E110" i="9"/>
  <c r="E67" i="9"/>
  <c r="E214" i="9"/>
  <c r="E146" i="9"/>
  <c r="E126" i="9"/>
  <c r="E121" i="9"/>
  <c r="E198" i="9"/>
  <c r="H198" i="9" s="1"/>
  <c r="E233" i="9"/>
  <c r="E140" i="9"/>
  <c r="E155" i="9"/>
  <c r="E100" i="9"/>
  <c r="E63" i="9"/>
  <c r="E9" i="9"/>
  <c r="E4" i="9"/>
  <c r="E203" i="9"/>
  <c r="E194" i="9"/>
  <c r="H194" i="9" s="1"/>
  <c r="E227" i="9"/>
  <c r="E241" i="9"/>
  <c r="E242" i="9"/>
  <c r="E171" i="9"/>
  <c r="H171" i="9" s="1"/>
  <c r="E148" i="9"/>
  <c r="E221" i="9"/>
  <c r="E183" i="9"/>
  <c r="H183" i="9" s="1"/>
  <c r="E205" i="9"/>
  <c r="E162" i="9"/>
  <c r="H162" i="9" s="1"/>
  <c r="E209" i="9"/>
  <c r="E190" i="9"/>
  <c r="H190" i="9" s="1"/>
  <c r="E218" i="9"/>
  <c r="E151" i="9"/>
  <c r="E109" i="9"/>
  <c r="E144" i="9"/>
  <c r="E153" i="9"/>
  <c r="E229" i="9"/>
  <c r="E202" i="9"/>
  <c r="H202" i="9" s="1"/>
  <c r="E210" i="9"/>
  <c r="E123" i="9"/>
  <c r="E170" i="9"/>
  <c r="H170" i="9" s="1"/>
  <c r="E164" i="9"/>
  <c r="H164" i="9" s="1"/>
  <c r="E197" i="9"/>
  <c r="H197" i="9" s="1"/>
  <c r="E122" i="9"/>
  <c r="E113" i="9"/>
  <c r="E213" i="9"/>
  <c r="E147" i="9"/>
  <c r="E50" i="9"/>
  <c r="F50" i="9" s="1"/>
  <c r="E41" i="9"/>
  <c r="F41" i="9" s="1"/>
  <c r="E84" i="9"/>
  <c r="E34" i="9"/>
  <c r="F34" i="9" s="1"/>
  <c r="E7" i="9"/>
  <c r="E56" i="9"/>
  <c r="E47" i="9"/>
  <c r="F47" i="9" s="1"/>
  <c r="E69" i="9"/>
  <c r="E82" i="9"/>
  <c r="E81" i="9"/>
  <c r="E3" i="9"/>
  <c r="E44" i="9"/>
  <c r="F44" i="9" s="1"/>
  <c r="E55" i="9"/>
  <c r="E36" i="9"/>
  <c r="F36" i="9" s="1"/>
  <c r="E8" i="9"/>
  <c r="E42" i="9"/>
  <c r="F42" i="9" s="1"/>
  <c r="E65" i="9"/>
  <c r="E48" i="9"/>
  <c r="F48" i="9" s="1"/>
  <c r="E33" i="9"/>
  <c r="F33" i="9" s="1"/>
  <c r="E5" i="9"/>
  <c r="E40" i="9"/>
  <c r="F40" i="9" s="1"/>
  <c r="E68" i="9"/>
  <c r="E161" i="9"/>
  <c r="E60" i="9"/>
  <c r="E70" i="9"/>
  <c r="E38" i="9"/>
  <c r="F38" i="9" s="1"/>
  <c r="E114" i="9"/>
  <c r="E45" i="9"/>
  <c r="F45" i="9" s="1"/>
  <c r="E53" i="9"/>
  <c r="E43" i="9"/>
  <c r="F43" i="9" s="1"/>
  <c r="E23" i="9"/>
  <c r="F23" i="9" s="1"/>
  <c r="E66" i="9"/>
  <c r="E125" i="9"/>
  <c r="E102" i="9"/>
  <c r="E59" i="9"/>
  <c r="E51" i="9"/>
  <c r="F51" i="9" s="1"/>
  <c r="E39" i="9"/>
  <c r="F39" i="9" s="1"/>
  <c r="E35" i="9"/>
  <c r="F35" i="9" s="1"/>
  <c r="E64" i="9"/>
  <c r="E83" i="9"/>
  <c r="E106" i="9"/>
  <c r="E46" i="9"/>
  <c r="F46" i="9" s="1"/>
  <c r="E54" i="9"/>
  <c r="E10" i="9"/>
  <c r="E71" i="9"/>
  <c r="E52" i="9"/>
  <c r="F52" i="9" s="1"/>
  <c r="E35" i="10"/>
  <c r="V4" i="9"/>
  <c r="C31" i="10"/>
  <c r="C30" i="10"/>
  <c r="E31" i="10" l="1"/>
  <c r="V12" i="9"/>
  <c r="V2" i="9"/>
  <c r="C32" i="10"/>
  <c r="F30" i="10"/>
  <c r="V14" i="9" l="1"/>
  <c r="V10" i="9" l="1"/>
  <c r="V8" i="9"/>
  <c r="T6" i="9"/>
  <c r="T5" i="9"/>
  <c r="T3" i="9"/>
  <c r="T4" i="9"/>
  <c r="G37" i="10" l="1"/>
  <c r="E2" i="9"/>
  <c r="F2" i="9" s="1"/>
  <c r="T7" i="9"/>
  <c r="R7" i="9"/>
  <c r="S7" i="9"/>
  <c r="R6" i="9"/>
  <c r="S6" i="9"/>
  <c r="R5" i="9"/>
  <c r="S5" i="9"/>
  <c r="S3" i="9"/>
  <c r="S4" i="9"/>
  <c r="R4" i="9"/>
  <c r="R3" i="9"/>
  <c r="G77" i="9" l="1"/>
  <c r="G76" i="9"/>
  <c r="G84" i="9"/>
  <c r="G85" i="9"/>
  <c r="G86" i="9"/>
  <c r="G74" i="9"/>
  <c r="G73" i="9"/>
  <c r="G79" i="9"/>
  <c r="G78" i="9"/>
  <c r="G82" i="9"/>
  <c r="G96" i="9"/>
  <c r="G94" i="9"/>
  <c r="G75" i="9"/>
  <c r="G154" i="9"/>
  <c r="G160" i="9"/>
  <c r="G196" i="9"/>
  <c r="G159" i="9"/>
  <c r="G165" i="9"/>
  <c r="G144" i="9"/>
  <c r="G148" i="9"/>
  <c r="G164" i="9"/>
  <c r="G158" i="9"/>
  <c r="G130" i="9"/>
  <c r="G197" i="9"/>
  <c r="G243" i="9"/>
  <c r="G187" i="9"/>
  <c r="G244" i="9"/>
  <c r="G171" i="9"/>
  <c r="G183" i="9"/>
  <c r="G223" i="9"/>
  <c r="G221" i="9"/>
  <c r="G233" i="9"/>
  <c r="G186" i="9"/>
  <c r="G199" i="9"/>
  <c r="G208" i="9"/>
  <c r="G232" i="9"/>
  <c r="G222" i="9"/>
  <c r="G182" i="9"/>
  <c r="G185" i="9"/>
  <c r="G201" i="9"/>
  <c r="G172" i="9"/>
  <c r="G188" i="9"/>
  <c r="G220" i="9"/>
  <c r="G236" i="9"/>
  <c r="G175" i="9"/>
  <c r="G231" i="9"/>
  <c r="G168" i="9"/>
  <c r="G10" i="9"/>
  <c r="G226" i="9"/>
  <c r="G190" i="9"/>
  <c r="G173" i="9"/>
  <c r="G153" i="9"/>
  <c r="G167" i="9"/>
  <c r="G119" i="9"/>
  <c r="G104" i="9"/>
  <c r="G114" i="9"/>
  <c r="G11" i="9"/>
  <c r="G143" i="9"/>
  <c r="G142" i="9"/>
  <c r="G176" i="9"/>
  <c r="G117" i="9"/>
  <c r="G184" i="9"/>
  <c r="G155" i="9"/>
  <c r="G174" i="9"/>
  <c r="G112" i="9"/>
  <c r="G225" i="9"/>
  <c r="G181" i="9"/>
  <c r="G106" i="9"/>
  <c r="G102" i="9"/>
  <c r="G179" i="9"/>
  <c r="G215" i="9"/>
  <c r="G101" i="9"/>
  <c r="G124" i="9"/>
  <c r="G99" i="9"/>
  <c r="G90" i="9"/>
  <c r="G92" i="9"/>
  <c r="G246" i="9"/>
  <c r="G211" i="9"/>
  <c r="G207" i="9"/>
  <c r="G121" i="9"/>
  <c r="G93" i="9"/>
  <c r="G88" i="9"/>
  <c r="G49" i="9"/>
  <c r="G235" i="9"/>
  <c r="G157" i="9"/>
  <c r="G161" i="9"/>
  <c r="G107" i="9"/>
  <c r="G80" i="9"/>
  <c r="G198" i="9"/>
  <c r="G212" i="9"/>
  <c r="G195" i="9"/>
  <c r="G118" i="9"/>
  <c r="G209" i="9"/>
  <c r="G239" i="9"/>
  <c r="G147" i="9"/>
  <c r="G149" i="9"/>
  <c r="G166" i="9"/>
  <c r="G125" i="9"/>
  <c r="G200" i="9"/>
  <c r="G178" i="9"/>
  <c r="G145" i="9"/>
  <c r="G97" i="9"/>
  <c r="G140" i="9"/>
  <c r="G177" i="9"/>
  <c r="G180" i="9"/>
  <c r="G219" i="9"/>
  <c r="G122" i="9"/>
  <c r="G91" i="9"/>
  <c r="G89" i="9"/>
  <c r="G83" i="9"/>
  <c r="G8" i="9"/>
  <c r="G108" i="9"/>
  <c r="G95" i="9"/>
  <c r="G87" i="9"/>
  <c r="G70" i="9"/>
  <c r="G61" i="9"/>
  <c r="G6" i="9"/>
  <c r="G81" i="9"/>
  <c r="G113" i="9"/>
  <c r="G146" i="9"/>
  <c r="G202" i="9"/>
  <c r="G169" i="9"/>
  <c r="G237" i="9"/>
  <c r="G194" i="9"/>
  <c r="G98" i="9"/>
  <c r="G163" i="9"/>
  <c r="G213" i="9"/>
  <c r="G53" i="9"/>
  <c r="G64" i="9"/>
  <c r="G129" i="9"/>
  <c r="G103" i="9"/>
  <c r="G115" i="9"/>
  <c r="G214" i="9"/>
  <c r="G120" i="9"/>
  <c r="G62" i="9"/>
  <c r="G54" i="9"/>
  <c r="G46" i="9"/>
  <c r="G66" i="9"/>
  <c r="G4" i="9"/>
  <c r="G50" i="9"/>
  <c r="G127" i="9"/>
  <c r="G228" i="9"/>
  <c r="G123" i="9"/>
  <c r="G134" i="9"/>
  <c r="G60" i="9"/>
  <c r="G126" i="9"/>
  <c r="G170" i="9"/>
  <c r="G229" i="9"/>
  <c r="G216" i="9"/>
  <c r="G138" i="9"/>
  <c r="G151" i="9"/>
  <c r="G139" i="9"/>
  <c r="G141" i="9"/>
  <c r="G234" i="9"/>
  <c r="G72" i="9"/>
  <c r="G47" i="9"/>
  <c r="G131" i="9"/>
  <c r="G55" i="9"/>
  <c r="G242" i="9"/>
  <c r="G217" i="9"/>
  <c r="G203" i="9"/>
  <c r="G224" i="9"/>
  <c r="G68" i="9"/>
  <c r="G56" i="9"/>
  <c r="G71" i="9"/>
  <c r="G109" i="9"/>
  <c r="G218" i="9"/>
  <c r="G191" i="9"/>
  <c r="G128" i="9"/>
  <c r="G105" i="9"/>
  <c r="G67" i="9"/>
  <c r="G52" i="9"/>
  <c r="G135" i="9"/>
  <c r="G192" i="9"/>
  <c r="G210" i="9"/>
  <c r="G152" i="9"/>
  <c r="G162" i="9"/>
  <c r="G245" i="9"/>
  <c r="G193" i="9"/>
  <c r="G150" i="9"/>
  <c r="G63" i="9"/>
  <c r="G44" i="9"/>
  <c r="G133" i="9"/>
  <c r="G9" i="9"/>
  <c r="G238" i="9"/>
  <c r="G204" i="9"/>
  <c r="G116" i="9"/>
  <c r="G206" i="9"/>
  <c r="G58" i="9"/>
  <c r="G65" i="9"/>
  <c r="G3" i="9"/>
  <c r="G43" i="9"/>
  <c r="G205" i="9"/>
  <c r="G227" i="9"/>
  <c r="G45" i="9"/>
  <c r="G69" i="9"/>
  <c r="G241" i="9"/>
  <c r="G156" i="9"/>
  <c r="G111" i="9"/>
  <c r="G240" i="9"/>
  <c r="G59" i="9"/>
  <c r="G48" i="9"/>
  <c r="G51" i="9"/>
  <c r="G57" i="9"/>
  <c r="G132" i="9"/>
  <c r="G189" i="9"/>
  <c r="G110" i="9"/>
  <c r="G7" i="9"/>
  <c r="G5" i="9"/>
  <c r="G136" i="9"/>
  <c r="G137" i="9"/>
  <c r="G100" i="9"/>
  <c r="G230" i="9"/>
  <c r="G35" i="9"/>
  <c r="G29" i="9"/>
  <c r="G14" i="9"/>
  <c r="G24" i="9"/>
  <c r="G28" i="9"/>
  <c r="G31" i="9"/>
  <c r="G16" i="9"/>
  <c r="G39" i="9"/>
  <c r="G26" i="9"/>
  <c r="G13" i="9"/>
  <c r="G30" i="9"/>
  <c r="G18" i="9"/>
  <c r="G22" i="9"/>
  <c r="G20" i="9"/>
  <c r="G40" i="9"/>
  <c r="G23" i="9"/>
  <c r="G15" i="9"/>
  <c r="G21" i="9"/>
  <c r="G17" i="9"/>
  <c r="G42" i="9"/>
  <c r="G34" i="9"/>
  <c r="G38" i="9"/>
  <c r="G36" i="9"/>
  <c r="G41" i="9"/>
  <c r="G27" i="9"/>
  <c r="G19" i="9"/>
  <c r="G33" i="9"/>
  <c r="G32" i="9"/>
  <c r="G12" i="9"/>
  <c r="G37" i="9"/>
  <c r="G25" i="9"/>
  <c r="E37" i="10"/>
  <c r="G40" i="10"/>
  <c r="E36" i="10"/>
  <c r="L2" i="9"/>
  <c r="N2" i="9"/>
  <c r="H2" i="9"/>
  <c r="J2" i="9"/>
  <c r="F40" i="10"/>
  <c r="E40" i="10"/>
  <c r="J40" i="10" s="1"/>
  <c r="V6" i="9"/>
  <c r="F37" i="10"/>
  <c r="E39" i="10"/>
  <c r="J39" i="10" s="1"/>
  <c r="F39" i="10"/>
  <c r="G39" i="10"/>
  <c r="G36" i="10"/>
  <c r="F36" i="10"/>
  <c r="F38" i="10"/>
  <c r="E38" i="10"/>
  <c r="G38" i="10"/>
  <c r="K25" i="9" l="1"/>
  <c r="K49" i="9"/>
  <c r="K66" i="9"/>
  <c r="K62" i="9"/>
  <c r="K79" i="9"/>
  <c r="K42" i="9"/>
  <c r="K78" i="9"/>
  <c r="K61" i="9"/>
  <c r="K64" i="9"/>
  <c r="K63" i="9"/>
  <c r="K75" i="9"/>
  <c r="K90" i="9"/>
  <c r="K98" i="9"/>
  <c r="K82" i="9"/>
  <c r="K94" i="9"/>
  <c r="K92" i="9"/>
  <c r="K107" i="9"/>
  <c r="K91" i="9"/>
  <c r="K142" i="9"/>
  <c r="K111" i="9"/>
  <c r="K116" i="9"/>
  <c r="K168" i="9"/>
  <c r="K125" i="9"/>
  <c r="K128" i="9"/>
  <c r="K154" i="9"/>
  <c r="K115" i="9"/>
  <c r="K124" i="9"/>
  <c r="K127" i="9"/>
  <c r="K173" i="9"/>
  <c r="K166" i="9"/>
  <c r="K179" i="9"/>
  <c r="K233" i="9"/>
  <c r="K194" i="9"/>
  <c r="K165" i="9"/>
  <c r="K178" i="9"/>
  <c r="K183" i="9"/>
  <c r="K196" i="9"/>
  <c r="K180" i="9"/>
  <c r="K195" i="9"/>
  <c r="K209" i="9"/>
  <c r="K230" i="9"/>
  <c r="K182" i="9"/>
  <c r="K181" i="9"/>
  <c r="K244" i="9"/>
  <c r="K242" i="9"/>
  <c r="K200" i="9"/>
  <c r="K176" i="9"/>
  <c r="K184" i="9"/>
  <c r="K130" i="9"/>
  <c r="K74" i="9"/>
  <c r="K56" i="9"/>
  <c r="K9" i="9"/>
  <c r="K221" i="9"/>
  <c r="K219" i="9"/>
  <c r="K225" i="9"/>
  <c r="K174" i="9"/>
  <c r="K235" i="9"/>
  <c r="K158" i="9"/>
  <c r="K118" i="9"/>
  <c r="K40" i="9"/>
  <c r="K77" i="9"/>
  <c r="K38" i="9"/>
  <c r="K65" i="9"/>
  <c r="K208" i="9"/>
  <c r="K229" i="9"/>
  <c r="K177" i="9"/>
  <c r="K185" i="9"/>
  <c r="K197" i="9"/>
  <c r="K175" i="9"/>
  <c r="K198" i="9"/>
  <c r="K140" i="9"/>
  <c r="K93" i="9"/>
  <c r="K105" i="9"/>
  <c r="K83" i="9"/>
  <c r="K243" i="9"/>
  <c r="K171" i="9"/>
  <c r="K136" i="9"/>
  <c r="K103" i="9"/>
  <c r="K108" i="9"/>
  <c r="K80" i="9"/>
  <c r="K220" i="9"/>
  <c r="K222" i="9"/>
  <c r="K232" i="9"/>
  <c r="K199" i="9"/>
  <c r="K213" i="9"/>
  <c r="K87" i="9"/>
  <c r="K89" i="9"/>
  <c r="K167" i="9"/>
  <c r="K97" i="9"/>
  <c r="K122" i="9"/>
  <c r="K96" i="9"/>
  <c r="K117" i="9"/>
  <c r="K37" i="9"/>
  <c r="K13" i="9"/>
  <c r="K206" i="9"/>
  <c r="K187" i="9"/>
  <c r="K139" i="9"/>
  <c r="K119" i="9"/>
  <c r="K84" i="9"/>
  <c r="K88" i="9"/>
  <c r="K186" i="9"/>
  <c r="K211" i="9"/>
  <c r="K172" i="9"/>
  <c r="K121" i="9"/>
  <c r="K237" i="9"/>
  <c r="K231" i="9"/>
  <c r="K207" i="9"/>
  <c r="K223" i="9"/>
  <c r="K188" i="9"/>
  <c r="K48" i="9"/>
  <c r="K76" i="9"/>
  <c r="K86" i="9"/>
  <c r="K203" i="9"/>
  <c r="K95" i="9"/>
  <c r="K137" i="9"/>
  <c r="K110" i="9"/>
  <c r="K73" i="9"/>
  <c r="K30" i="9"/>
  <c r="K58" i="9"/>
  <c r="K114" i="9"/>
  <c r="K4" i="9"/>
  <c r="K81" i="9"/>
  <c r="K54" i="9"/>
  <c r="K8" i="9"/>
  <c r="K18" i="9"/>
  <c r="K39" i="9"/>
  <c r="K6" i="9"/>
  <c r="K85" i="9"/>
  <c r="K5" i="9"/>
  <c r="K41" i="9"/>
  <c r="K23" i="9"/>
  <c r="K60" i="9"/>
  <c r="K32" i="9"/>
  <c r="K164" i="9"/>
  <c r="K234" i="9"/>
  <c r="K226" i="9"/>
  <c r="K157" i="9"/>
  <c r="K239" i="9"/>
  <c r="K150" i="9"/>
  <c r="K24" i="9"/>
  <c r="K100" i="9"/>
  <c r="K68" i="9"/>
  <c r="K34" i="9"/>
  <c r="K10" i="9"/>
  <c r="K153" i="9"/>
  <c r="K50" i="9"/>
  <c r="K135" i="9"/>
  <c r="K236" i="9"/>
  <c r="K224" i="9"/>
  <c r="K71" i="9"/>
  <c r="K240" i="9"/>
  <c r="K238" i="9"/>
  <c r="K227" i="9"/>
  <c r="K7" i="9"/>
  <c r="K47" i="9"/>
  <c r="K106" i="9"/>
  <c r="K192" i="9"/>
  <c r="K151" i="9"/>
  <c r="K148" i="9"/>
  <c r="K193" i="9"/>
  <c r="K190" i="9"/>
  <c r="K163" i="9"/>
  <c r="K141" i="9"/>
  <c r="K3" i="9"/>
  <c r="K132" i="9"/>
  <c r="K217" i="9"/>
  <c r="K126" i="9"/>
  <c r="K143" i="9"/>
  <c r="K67" i="9"/>
  <c r="K36" i="9"/>
  <c r="K43" i="9"/>
  <c r="K59" i="9"/>
  <c r="K123" i="9"/>
  <c r="K210" i="9"/>
  <c r="K35" i="9"/>
  <c r="K99" i="9"/>
  <c r="K12" i="9"/>
  <c r="K113" i="9"/>
  <c r="K21" i="9"/>
  <c r="K72" i="9"/>
  <c r="K160" i="9"/>
  <c r="K245" i="9"/>
  <c r="K51" i="9"/>
  <c r="K31" i="9"/>
  <c r="K145" i="9"/>
  <c r="K112" i="9"/>
  <c r="K57" i="9"/>
  <c r="K202" i="9"/>
  <c r="K205" i="9"/>
  <c r="K215" i="9"/>
  <c r="K133" i="9"/>
  <c r="K104" i="9"/>
  <c r="K201" i="9"/>
  <c r="K55" i="9"/>
  <c r="K129" i="9"/>
  <c r="K169" i="9"/>
  <c r="K216" i="9"/>
  <c r="K109" i="9"/>
  <c r="K52" i="9"/>
  <c r="K17" i="9"/>
  <c r="K22" i="9"/>
  <c r="K69" i="9"/>
  <c r="K16" i="9"/>
  <c r="K149" i="9"/>
  <c r="K46" i="9"/>
  <c r="K147" i="9"/>
  <c r="K189" i="9"/>
  <c r="K28" i="9"/>
  <c r="K228" i="9"/>
  <c r="K155" i="9"/>
  <c r="K162" i="9"/>
  <c r="K159" i="9"/>
  <c r="K134" i="9"/>
  <c r="K218" i="9"/>
  <c r="K120" i="9"/>
  <c r="K11" i="9"/>
  <c r="K19" i="9"/>
  <c r="K45" i="9"/>
  <c r="K44" i="9"/>
  <c r="K33" i="9"/>
  <c r="K14" i="9"/>
  <c r="K20" i="9"/>
  <c r="K170" i="9"/>
  <c r="K138" i="9"/>
  <c r="K246" i="9"/>
  <c r="K161" i="9"/>
  <c r="K156" i="9"/>
  <c r="K214" i="9"/>
  <c r="K102" i="9"/>
  <c r="K131" i="9"/>
  <c r="K26" i="9"/>
  <c r="K29" i="9"/>
  <c r="K204" i="9"/>
  <c r="K144" i="9"/>
  <c r="K146" i="9"/>
  <c r="K152" i="9"/>
  <c r="K241" i="9"/>
  <c r="K212" i="9"/>
  <c r="K101" i="9"/>
  <c r="K53" i="9"/>
  <c r="K70" i="9"/>
  <c r="K27" i="9"/>
  <c r="K15" i="9"/>
  <c r="K191" i="9"/>
  <c r="O26" i="9"/>
  <c r="O5" i="9"/>
  <c r="O38" i="9"/>
  <c r="O74" i="9"/>
  <c r="O82" i="9"/>
  <c r="O70" i="9"/>
  <c r="O51" i="9"/>
  <c r="O53" i="9"/>
  <c r="O62" i="9"/>
  <c r="O79" i="9"/>
  <c r="O67" i="9"/>
  <c r="O50" i="9"/>
  <c r="O52" i="9"/>
  <c r="O71" i="9"/>
  <c r="O76" i="9"/>
  <c r="O86" i="9"/>
  <c r="O81" i="9"/>
  <c r="O78" i="9"/>
  <c r="O107" i="9"/>
  <c r="O174" i="9"/>
  <c r="O131" i="9"/>
  <c r="O114" i="9"/>
  <c r="O186" i="9"/>
  <c r="O133" i="9"/>
  <c r="O137" i="9"/>
  <c r="O161" i="9"/>
  <c r="O167" i="9"/>
  <c r="O115" i="9"/>
  <c r="O226" i="9"/>
  <c r="O230" i="9"/>
  <c r="O125" i="9"/>
  <c r="O243" i="9"/>
  <c r="O128" i="9"/>
  <c r="O195" i="9"/>
  <c r="O211" i="9"/>
  <c r="O184" i="9"/>
  <c r="O207" i="9"/>
  <c r="O130" i="9"/>
  <c r="O88" i="9"/>
  <c r="O69" i="9"/>
  <c r="O80" i="9"/>
  <c r="O61" i="9"/>
  <c r="O214" i="9"/>
  <c r="O122" i="9"/>
  <c r="O233" i="9"/>
  <c r="O93" i="9"/>
  <c r="O64" i="9"/>
  <c r="O14" i="9"/>
  <c r="O8" i="9"/>
  <c r="O159" i="9"/>
  <c r="O171" i="9"/>
  <c r="O154" i="9"/>
  <c r="O199" i="9"/>
  <c r="O219" i="9"/>
  <c r="O153" i="9"/>
  <c r="O220" i="9"/>
  <c r="O136" i="9"/>
  <c r="O132" i="9"/>
  <c r="O166" i="9"/>
  <c r="O95" i="9"/>
  <c r="O104" i="9"/>
  <c r="O192" i="9"/>
  <c r="O181" i="9"/>
  <c r="O197" i="9"/>
  <c r="O221" i="9"/>
  <c r="O145" i="9"/>
  <c r="O142" i="9"/>
  <c r="O94" i="9"/>
  <c r="O100" i="9"/>
  <c r="O84" i="9"/>
  <c r="O160" i="9"/>
  <c r="O118" i="9"/>
  <c r="O98" i="9"/>
  <c r="O196" i="9"/>
  <c r="O235" i="9"/>
  <c r="O232" i="9"/>
  <c r="O185" i="9"/>
  <c r="O63" i="9"/>
  <c r="O89" i="9"/>
  <c r="O231" i="9"/>
  <c r="O141" i="9"/>
  <c r="O190" i="9"/>
  <c r="O209" i="9"/>
  <c r="O204" i="9"/>
  <c r="O223" i="9"/>
  <c r="O113" i="9"/>
  <c r="O245" i="9"/>
  <c r="O179" i="9"/>
  <c r="O140" i="9"/>
  <c r="O187" i="9"/>
  <c r="O149" i="9"/>
  <c r="O244" i="9"/>
  <c r="O110" i="9"/>
  <c r="O77" i="9"/>
  <c r="O92" i="9"/>
  <c r="O193" i="9"/>
  <c r="O177" i="9"/>
  <c r="O168" i="9"/>
  <c r="O194" i="9"/>
  <c r="O116" i="9"/>
  <c r="O208" i="9"/>
  <c r="O173" i="9"/>
  <c r="O102" i="9"/>
  <c r="O75" i="9"/>
  <c r="O83" i="9"/>
  <c r="O66" i="9"/>
  <c r="O65" i="9"/>
  <c r="O13" i="9"/>
  <c r="O6" i="9"/>
  <c r="O172" i="9"/>
  <c r="O91" i="9"/>
  <c r="O60" i="9"/>
  <c r="O56" i="9"/>
  <c r="O112" i="9"/>
  <c r="O97" i="9"/>
  <c r="O108" i="9"/>
  <c r="O117" i="9"/>
  <c r="O49" i="9"/>
  <c r="O87" i="9"/>
  <c r="O90" i="9"/>
  <c r="O68" i="9"/>
  <c r="O25" i="9"/>
  <c r="O58" i="9"/>
  <c r="O85" i="9"/>
  <c r="O36" i="9"/>
  <c r="O37" i="9"/>
  <c r="O54" i="9"/>
  <c r="O96" i="9"/>
  <c r="O73" i="9"/>
  <c r="O12" i="9"/>
  <c r="O33" i="9"/>
  <c r="O16" i="9"/>
  <c r="O99" i="9"/>
  <c r="O19" i="9"/>
  <c r="O170" i="9"/>
  <c r="O57" i="9"/>
  <c r="O109" i="9"/>
  <c r="O48" i="9"/>
  <c r="O40" i="9"/>
  <c r="O10" i="9"/>
  <c r="O238" i="9"/>
  <c r="O176" i="9"/>
  <c r="O169" i="9"/>
  <c r="O200" i="9"/>
  <c r="O134" i="9"/>
  <c r="O138" i="9"/>
  <c r="O158" i="9"/>
  <c r="O240" i="9"/>
  <c r="O103" i="9"/>
  <c r="O124" i="9"/>
  <c r="O143" i="9"/>
  <c r="O31" i="9"/>
  <c r="O18" i="9"/>
  <c r="O24" i="9"/>
  <c r="O222" i="9"/>
  <c r="O191" i="9"/>
  <c r="O201" i="9"/>
  <c r="O23" i="9"/>
  <c r="O101" i="9"/>
  <c r="O105" i="9"/>
  <c r="O72" i="9"/>
  <c r="O42" i="9"/>
  <c r="O43" i="9"/>
  <c r="O165" i="9"/>
  <c r="O225" i="9"/>
  <c r="O135" i="9"/>
  <c r="O106" i="9"/>
  <c r="O30" i="9"/>
  <c r="O123" i="9"/>
  <c r="O236" i="9"/>
  <c r="O234" i="9"/>
  <c r="O155" i="9"/>
  <c r="O29" i="9"/>
  <c r="O164" i="9"/>
  <c r="O213" i="9"/>
  <c r="O20" i="9"/>
  <c r="O121" i="9"/>
  <c r="O7" i="9"/>
  <c r="O44" i="9"/>
  <c r="O139" i="9"/>
  <c r="O217" i="9"/>
  <c r="O224" i="9"/>
  <c r="O216" i="9"/>
  <c r="O237" i="9"/>
  <c r="O241" i="9"/>
  <c r="O229" i="9"/>
  <c r="O203" i="9"/>
  <c r="O9" i="9"/>
  <c r="O239" i="9"/>
  <c r="O21" i="9"/>
  <c r="O111" i="9"/>
  <c r="O175" i="9"/>
  <c r="O210" i="9"/>
  <c r="O151" i="9"/>
  <c r="O28" i="9"/>
  <c r="O27" i="9"/>
  <c r="O55" i="9"/>
  <c r="O45" i="9"/>
  <c r="O227" i="9"/>
  <c r="O152" i="9"/>
  <c r="O212" i="9"/>
  <c r="O47" i="9"/>
  <c r="O157" i="9"/>
  <c r="O32" i="9"/>
  <c r="O148" i="9"/>
  <c r="O15" i="9"/>
  <c r="O119" i="9"/>
  <c r="O178" i="9"/>
  <c r="O215" i="9"/>
  <c r="O17" i="9"/>
  <c r="O218" i="9"/>
  <c r="O147" i="9"/>
  <c r="O202" i="9"/>
  <c r="O120" i="9"/>
  <c r="O228" i="9"/>
  <c r="O129" i="9"/>
  <c r="O39" i="9"/>
  <c r="O11" i="9"/>
  <c r="O127" i="9"/>
  <c r="O206" i="9"/>
  <c r="O126" i="9"/>
  <c r="O182" i="9"/>
  <c r="O150" i="9"/>
  <c r="O205" i="9"/>
  <c r="O188" i="9"/>
  <c r="O242" i="9"/>
  <c r="O3" i="9"/>
  <c r="O22" i="9"/>
  <c r="O4" i="9"/>
  <c r="O180" i="9"/>
  <c r="O144" i="9"/>
  <c r="O162" i="9"/>
  <c r="O35" i="9"/>
  <c r="O183" i="9"/>
  <c r="O46" i="9"/>
  <c r="O59" i="9"/>
  <c r="O34" i="9"/>
  <c r="O163" i="9"/>
  <c r="O198" i="9"/>
  <c r="O189" i="9"/>
  <c r="O41" i="9"/>
  <c r="O146" i="9"/>
  <c r="O156" i="9"/>
  <c r="O246" i="9"/>
  <c r="I13" i="9"/>
  <c r="I73" i="9"/>
  <c r="I74" i="9"/>
  <c r="I49" i="9"/>
  <c r="I68" i="9"/>
  <c r="I80" i="9"/>
  <c r="I85" i="9"/>
  <c r="I97" i="9"/>
  <c r="I88" i="9"/>
  <c r="I94" i="9"/>
  <c r="I93" i="9"/>
  <c r="I92" i="9"/>
  <c r="I101" i="9"/>
  <c r="I107" i="9"/>
  <c r="I113" i="9"/>
  <c r="I141" i="9"/>
  <c r="I119" i="9"/>
  <c r="I115" i="9"/>
  <c r="I140" i="9"/>
  <c r="I166" i="9"/>
  <c r="I132" i="9"/>
  <c r="I152" i="9"/>
  <c r="I121" i="9"/>
  <c r="I139" i="9"/>
  <c r="I114" i="9"/>
  <c r="I219" i="9"/>
  <c r="I220" i="9"/>
  <c r="I212" i="9"/>
  <c r="I223" i="9"/>
  <c r="I233" i="9"/>
  <c r="I209" i="9"/>
  <c r="I222" i="9"/>
  <c r="I236" i="9"/>
  <c r="I207" i="9"/>
  <c r="I83" i="9"/>
  <c r="I158" i="9"/>
  <c r="I19" i="9"/>
  <c r="I171" i="9"/>
  <c r="I150" i="9"/>
  <c r="I229" i="9"/>
  <c r="I239" i="9"/>
  <c r="I164" i="9"/>
  <c r="I211" i="9"/>
  <c r="I215" i="9"/>
  <c r="I124" i="9"/>
  <c r="I217" i="9"/>
  <c r="I111" i="9"/>
  <c r="I108" i="9"/>
  <c r="I130" i="9"/>
  <c r="I90" i="9"/>
  <c r="I104" i="9"/>
  <c r="I91" i="9"/>
  <c r="I231" i="9"/>
  <c r="I244" i="9"/>
  <c r="I122" i="9"/>
  <c r="I133" i="9"/>
  <c r="I118" i="9"/>
  <c r="I156" i="9"/>
  <c r="I136" i="9"/>
  <c r="I84" i="9"/>
  <c r="I82" i="9"/>
  <c r="I99" i="9"/>
  <c r="I89" i="9"/>
  <c r="I208" i="9"/>
  <c r="I235" i="9"/>
  <c r="I117" i="9"/>
  <c r="I148" i="9"/>
  <c r="I20" i="9"/>
  <c r="I7" i="9"/>
  <c r="I243" i="9"/>
  <c r="I232" i="9"/>
  <c r="I170" i="9"/>
  <c r="I144" i="9"/>
  <c r="I87" i="9"/>
  <c r="I105" i="9"/>
  <c r="I221" i="9"/>
  <c r="I168" i="9"/>
  <c r="I151" i="9"/>
  <c r="I163" i="9"/>
  <c r="I241" i="9"/>
  <c r="I86" i="9"/>
  <c r="I227" i="9"/>
  <c r="I110" i="9"/>
  <c r="I165" i="9"/>
  <c r="I142" i="9"/>
  <c r="I245" i="9"/>
  <c r="I135" i="9"/>
  <c r="I131" i="9"/>
  <c r="I81" i="9"/>
  <c r="I154" i="9"/>
  <c r="I75" i="9"/>
  <c r="I6" i="9"/>
  <c r="I4" i="9"/>
  <c r="I66" i="9"/>
  <c r="I63" i="9"/>
  <c r="I21" i="9"/>
  <c r="I67" i="9"/>
  <c r="I79" i="9"/>
  <c r="I15" i="9"/>
  <c r="I76" i="9"/>
  <c r="I12" i="9"/>
  <c r="I24" i="9"/>
  <c r="I65" i="9"/>
  <c r="I37" i="9"/>
  <c r="I95" i="9"/>
  <c r="I96" i="9"/>
  <c r="I112" i="9"/>
  <c r="I62" i="9"/>
  <c r="I77" i="9"/>
  <c r="I17" i="9"/>
  <c r="I64" i="9"/>
  <c r="I25" i="9"/>
  <c r="I44" i="9"/>
  <c r="I61" i="9"/>
  <c r="I78" i="9"/>
  <c r="I32" i="9"/>
  <c r="I23" i="9"/>
  <c r="I106" i="9"/>
  <c r="I29" i="9"/>
  <c r="I98" i="9"/>
  <c r="I8" i="9"/>
  <c r="I47" i="9"/>
  <c r="I70" i="9"/>
  <c r="I41" i="9"/>
  <c r="I59" i="9"/>
  <c r="I109" i="9"/>
  <c r="I228" i="9"/>
  <c r="I43" i="9"/>
  <c r="I46" i="9"/>
  <c r="I147" i="9"/>
  <c r="I10" i="9"/>
  <c r="I149" i="9"/>
  <c r="I203" i="9"/>
  <c r="I206" i="9"/>
  <c r="I137" i="9"/>
  <c r="I153" i="9"/>
  <c r="I50" i="9"/>
  <c r="I5" i="9"/>
  <c r="I31" i="9"/>
  <c r="I22" i="9"/>
  <c r="I213" i="9"/>
  <c r="I162" i="9"/>
  <c r="I123" i="9"/>
  <c r="I225" i="9"/>
  <c r="I237" i="9"/>
  <c r="I34" i="9"/>
  <c r="I48" i="9"/>
  <c r="I52" i="9"/>
  <c r="I30" i="9"/>
  <c r="I38" i="9"/>
  <c r="I9" i="9"/>
  <c r="I57" i="9"/>
  <c r="I16" i="9"/>
  <c r="I143" i="9"/>
  <c r="I218" i="9"/>
  <c r="I126" i="9"/>
  <c r="I146" i="9"/>
  <c r="I120" i="9"/>
  <c r="I160" i="9"/>
  <c r="I155" i="9"/>
  <c r="I26" i="9"/>
  <c r="I60" i="9"/>
  <c r="I161" i="9"/>
  <c r="I116" i="9"/>
  <c r="I226" i="9"/>
  <c r="I238" i="9"/>
  <c r="I134" i="9"/>
  <c r="I205" i="9"/>
  <c r="I138" i="9"/>
  <c r="I36" i="9"/>
  <c r="I242" i="9"/>
  <c r="I240" i="9"/>
  <c r="I54" i="9"/>
  <c r="I11" i="9"/>
  <c r="I128" i="9"/>
  <c r="I234" i="9"/>
  <c r="I3" i="9"/>
  <c r="I53" i="9"/>
  <c r="I39" i="9"/>
  <c r="I14" i="9"/>
  <c r="I71" i="9"/>
  <c r="I42" i="9"/>
  <c r="I100" i="9"/>
  <c r="I204" i="9"/>
  <c r="I145" i="9"/>
  <c r="I58" i="9"/>
  <c r="I35" i="9"/>
  <c r="I129" i="9"/>
  <c r="I56" i="9"/>
  <c r="I214" i="9"/>
  <c r="I230" i="9"/>
  <c r="I45" i="9"/>
  <c r="I159" i="9"/>
  <c r="I72" i="9"/>
  <c r="I51" i="9"/>
  <c r="I18" i="9"/>
  <c r="I40" i="9"/>
  <c r="I169" i="9"/>
  <c r="I246" i="9"/>
  <c r="I157" i="9"/>
  <c r="I33" i="9"/>
  <c r="I27" i="9"/>
  <c r="I55" i="9"/>
  <c r="I28" i="9"/>
  <c r="I69" i="9"/>
  <c r="I127" i="9"/>
  <c r="I216" i="9"/>
  <c r="I210" i="9"/>
  <c r="I224" i="9"/>
  <c r="I125" i="9"/>
  <c r="I102" i="9"/>
  <c r="I167" i="9"/>
  <c r="I103" i="9"/>
  <c r="I192" i="9"/>
  <c r="I176" i="9"/>
  <c r="I181" i="9"/>
  <c r="I184" i="9"/>
  <c r="I199" i="9"/>
  <c r="I200" i="9"/>
  <c r="I180" i="9"/>
  <c r="I178" i="9"/>
  <c r="I202" i="9"/>
  <c r="I188" i="9"/>
  <c r="I191" i="9"/>
  <c r="I194" i="9"/>
  <c r="I175" i="9"/>
  <c r="I173" i="9"/>
  <c r="I177" i="9"/>
  <c r="I196" i="9"/>
  <c r="I185" i="9"/>
  <c r="I193" i="9"/>
  <c r="I189" i="9"/>
  <c r="I195" i="9"/>
  <c r="I197" i="9"/>
  <c r="I201" i="9"/>
  <c r="I186" i="9"/>
  <c r="I187" i="9"/>
  <c r="I198" i="9"/>
  <c r="I183" i="9"/>
  <c r="I179" i="9"/>
  <c r="I172" i="9"/>
  <c r="I182" i="9"/>
  <c r="I174" i="9"/>
  <c r="I190" i="9"/>
  <c r="M16" i="9"/>
  <c r="M37" i="9"/>
  <c r="M65" i="9"/>
  <c r="M80" i="9"/>
  <c r="M73" i="9"/>
  <c r="M64" i="9"/>
  <c r="M69" i="9"/>
  <c r="M52" i="9"/>
  <c r="M76" i="9"/>
  <c r="M60" i="9"/>
  <c r="M77" i="9"/>
  <c r="M90" i="9"/>
  <c r="M89" i="9"/>
  <c r="M79" i="9"/>
  <c r="M88" i="9"/>
  <c r="M94" i="9"/>
  <c r="M92" i="9"/>
  <c r="M118" i="9"/>
  <c r="M185" i="9"/>
  <c r="M117" i="9"/>
  <c r="M188" i="9"/>
  <c r="M130" i="9"/>
  <c r="M113" i="9"/>
  <c r="M141" i="9"/>
  <c r="M149" i="9"/>
  <c r="M160" i="9"/>
  <c r="M153" i="9"/>
  <c r="M154" i="9"/>
  <c r="M216" i="9"/>
  <c r="M194" i="9"/>
  <c r="M240" i="9"/>
  <c r="M207" i="9"/>
  <c r="M219" i="9"/>
  <c r="M232" i="9"/>
  <c r="M167" i="9"/>
  <c r="M195" i="9"/>
  <c r="M208" i="9"/>
  <c r="M231" i="9"/>
  <c r="M220" i="9"/>
  <c r="M175" i="9"/>
  <c r="M161" i="9"/>
  <c r="M93" i="9"/>
  <c r="M107" i="9"/>
  <c r="M67" i="9"/>
  <c r="M66" i="9"/>
  <c r="M83" i="9"/>
  <c r="M34" i="9"/>
  <c r="M51" i="9"/>
  <c r="M182" i="9"/>
  <c r="M209" i="9"/>
  <c r="M223" i="9"/>
  <c r="M179" i="9"/>
  <c r="M132" i="9"/>
  <c r="M84" i="9"/>
  <c r="M62" i="9"/>
  <c r="M71" i="9"/>
  <c r="M30" i="9"/>
  <c r="M6" i="9"/>
  <c r="M8" i="9"/>
  <c r="M204" i="9"/>
  <c r="M148" i="9"/>
  <c r="M206" i="9"/>
  <c r="M192" i="9"/>
  <c r="M213" i="9"/>
  <c r="M104" i="9"/>
  <c r="M106" i="9"/>
  <c r="M228" i="9"/>
  <c r="M211" i="9"/>
  <c r="M131" i="9"/>
  <c r="M183" i="9"/>
  <c r="M142" i="9"/>
  <c r="M172" i="9"/>
  <c r="M91" i="9"/>
  <c r="M97" i="9"/>
  <c r="M187" i="9"/>
  <c r="M178" i="9"/>
  <c r="M221" i="9"/>
  <c r="M168" i="9"/>
  <c r="M177" i="9"/>
  <c r="M68" i="9"/>
  <c r="M243" i="9"/>
  <c r="M173" i="9"/>
  <c r="M180" i="9"/>
  <c r="M166" i="9"/>
  <c r="M176" i="9"/>
  <c r="M87" i="9"/>
  <c r="M78" i="9"/>
  <c r="M96" i="9"/>
  <c r="M108" i="9"/>
  <c r="M25" i="9"/>
  <c r="M3" i="9"/>
  <c r="M165" i="9"/>
  <c r="M197" i="9"/>
  <c r="M111" i="9"/>
  <c r="M61" i="9"/>
  <c r="M230" i="9"/>
  <c r="M233" i="9"/>
  <c r="M246" i="9"/>
  <c r="M196" i="9"/>
  <c r="M181" i="9"/>
  <c r="M152" i="9"/>
  <c r="M95" i="9"/>
  <c r="M164" i="9"/>
  <c r="M184" i="9"/>
  <c r="M235" i="9"/>
  <c r="M198" i="9"/>
  <c r="M159" i="9"/>
  <c r="M112" i="9"/>
  <c r="M144" i="9"/>
  <c r="M237" i="9"/>
  <c r="M74" i="9"/>
  <c r="M82" i="9"/>
  <c r="M86" i="9"/>
  <c r="M193" i="9"/>
  <c r="M244" i="9"/>
  <c r="M199" i="9"/>
  <c r="M101" i="9"/>
  <c r="M70" i="9"/>
  <c r="M72" i="9"/>
  <c r="M81" i="9"/>
  <c r="M75" i="9"/>
  <c r="M85" i="9"/>
  <c r="M63" i="9"/>
  <c r="M49" i="9"/>
  <c r="M28" i="9"/>
  <c r="M35" i="9"/>
  <c r="M50" i="9"/>
  <c r="M31" i="9"/>
  <c r="M13" i="9"/>
  <c r="M33" i="9"/>
  <c r="M29" i="9"/>
  <c r="M32" i="9"/>
  <c r="M14" i="9"/>
  <c r="M40" i="9"/>
  <c r="M15" i="9"/>
  <c r="M45" i="9"/>
  <c r="M26" i="9"/>
  <c r="M46" i="9"/>
  <c r="M109" i="9"/>
  <c r="M218" i="9"/>
  <c r="M140" i="9"/>
  <c r="M215" i="9"/>
  <c r="M103" i="9"/>
  <c r="M227" i="9"/>
  <c r="M242" i="9"/>
  <c r="M110" i="9"/>
  <c r="M241" i="9"/>
  <c r="M100" i="9"/>
  <c r="M7" i="9"/>
  <c r="M42" i="9"/>
  <c r="M222" i="9"/>
  <c r="M102" i="9"/>
  <c r="M155" i="9"/>
  <c r="M19" i="9"/>
  <c r="M114" i="9"/>
  <c r="M38" i="9"/>
  <c r="M135" i="9"/>
  <c r="M224" i="9"/>
  <c r="M139" i="9"/>
  <c r="M56" i="9"/>
  <c r="M186" i="9"/>
  <c r="M137" i="9"/>
  <c r="M12" i="9"/>
  <c r="M17" i="9"/>
  <c r="M21" i="9"/>
  <c r="M136" i="9"/>
  <c r="M44" i="9"/>
  <c r="M53" i="9"/>
  <c r="M138" i="9"/>
  <c r="M203" i="9"/>
  <c r="M48" i="9"/>
  <c r="M217" i="9"/>
  <c r="M157" i="9"/>
  <c r="M200" i="9"/>
  <c r="M39" i="9"/>
  <c r="M134" i="9"/>
  <c r="M123" i="9"/>
  <c r="M236" i="9"/>
  <c r="M234" i="9"/>
  <c r="M201" i="9"/>
  <c r="M174" i="9"/>
  <c r="M24" i="9"/>
  <c r="M156" i="9"/>
  <c r="M55" i="9"/>
  <c r="M120" i="9"/>
  <c r="M191" i="9"/>
  <c r="M146" i="9"/>
  <c r="M119" i="9"/>
  <c r="M9" i="9"/>
  <c r="M27" i="9"/>
  <c r="M23" i="9"/>
  <c r="M57" i="9"/>
  <c r="M58" i="9"/>
  <c r="M158" i="9"/>
  <c r="M205" i="9"/>
  <c r="M210" i="9"/>
  <c r="M143" i="9"/>
  <c r="M163" i="9"/>
  <c r="M22" i="9"/>
  <c r="M128" i="9"/>
  <c r="M239" i="9"/>
  <c r="M147" i="9"/>
  <c r="M105" i="9"/>
  <c r="M121" i="9"/>
  <c r="M145" i="9"/>
  <c r="M229" i="9"/>
  <c r="M47" i="9"/>
  <c r="M54" i="9"/>
  <c r="M18" i="9"/>
  <c r="M99" i="9"/>
  <c r="M225" i="9"/>
  <c r="M189" i="9"/>
  <c r="M151" i="9"/>
  <c r="M133" i="9"/>
  <c r="M98" i="9"/>
  <c r="M124" i="9"/>
  <c r="M212" i="9"/>
  <c r="M169" i="9"/>
  <c r="M20" i="9"/>
  <c r="M41" i="9"/>
  <c r="M11" i="9"/>
  <c r="M43" i="9"/>
  <c r="M126" i="9"/>
  <c r="M150" i="9"/>
  <c r="M245" i="9"/>
  <c r="M59" i="9"/>
  <c r="M5" i="9"/>
  <c r="M36" i="9"/>
  <c r="M4" i="9"/>
  <c r="M122" i="9"/>
  <c r="M214" i="9"/>
  <c r="M125" i="9"/>
  <c r="M116" i="9"/>
  <c r="M238" i="9"/>
  <c r="M115" i="9"/>
  <c r="M10" i="9"/>
  <c r="M171" i="9"/>
  <c r="M170" i="9"/>
  <c r="M226" i="9"/>
  <c r="M162" i="9"/>
  <c r="M129" i="9"/>
  <c r="M190" i="9"/>
  <c r="M127" i="9"/>
  <c r="M202" i="9"/>
  <c r="J38" i="10"/>
  <c r="J37" i="10"/>
  <c r="J36" i="10"/>
  <c r="G300" i="9"/>
  <c r="G285" i="9"/>
  <c r="G288" i="9"/>
  <c r="G250" i="9"/>
  <c r="G274" i="9"/>
  <c r="G261" i="9"/>
  <c r="G266" i="9"/>
  <c r="G283" i="9"/>
  <c r="G275" i="9"/>
  <c r="G286" i="9"/>
  <c r="G299" i="9"/>
  <c r="G249" i="9"/>
  <c r="G258" i="9"/>
  <c r="G259" i="9"/>
  <c r="G295" i="9"/>
  <c r="G281" i="9"/>
  <c r="G273" i="9"/>
  <c r="G257" i="9"/>
  <c r="G282" i="9"/>
  <c r="G272" i="9"/>
  <c r="G264" i="9"/>
  <c r="G256" i="9"/>
  <c r="G301" i="9"/>
  <c r="G296" i="9"/>
  <c r="G284" i="9"/>
  <c r="G271" i="9"/>
  <c r="G253" i="9"/>
  <c r="G289" i="9"/>
  <c r="G279" i="9"/>
  <c r="G269" i="9"/>
  <c r="G255" i="9"/>
  <c r="G298" i="9"/>
  <c r="G278" i="9"/>
  <c r="G270" i="9"/>
  <c r="G262" i="9"/>
  <c r="G254" i="9"/>
  <c r="G297" i="9"/>
  <c r="G292" i="9"/>
  <c r="G280" i="9"/>
  <c r="G267" i="9"/>
  <c r="G287" i="9"/>
  <c r="G277" i="9"/>
  <c r="G265" i="9"/>
  <c r="G251" i="9"/>
  <c r="G294" i="9"/>
  <c r="G276" i="9"/>
  <c r="G268" i="9"/>
  <c r="G260" i="9"/>
  <c r="G252" i="9"/>
  <c r="G293" i="9"/>
  <c r="G290" i="9"/>
  <c r="G291" i="9"/>
  <c r="G263" i="9"/>
  <c r="K249" i="9"/>
  <c r="K251" i="9"/>
  <c r="K255" i="9"/>
  <c r="K257" i="9"/>
  <c r="K261" i="9"/>
  <c r="K265" i="9"/>
  <c r="K269" i="9"/>
  <c r="K273" i="9"/>
  <c r="K275" i="9"/>
  <c r="K277" i="9"/>
  <c r="K279" i="9"/>
  <c r="K281" i="9"/>
  <c r="K285" i="9"/>
  <c r="K287" i="9"/>
  <c r="K297" i="9"/>
  <c r="K276" i="9"/>
  <c r="K278" i="9"/>
  <c r="K282" i="9"/>
  <c r="K288" i="9"/>
  <c r="K294" i="9"/>
  <c r="K298" i="9"/>
  <c r="K289" i="9"/>
  <c r="K250" i="9"/>
  <c r="K252" i="9"/>
  <c r="K254" i="9"/>
  <c r="K256" i="9"/>
  <c r="K258" i="9"/>
  <c r="K260" i="9"/>
  <c r="K262" i="9"/>
  <c r="K264" i="9"/>
  <c r="K266" i="9"/>
  <c r="K268" i="9"/>
  <c r="K270" i="9"/>
  <c r="K272" i="9"/>
  <c r="K274" i="9"/>
  <c r="K280" i="9"/>
  <c r="K284" i="9"/>
  <c r="K286" i="9"/>
  <c r="K290" i="9"/>
  <c r="K292" i="9"/>
  <c r="K296" i="9"/>
  <c r="K300" i="9"/>
  <c r="K291" i="9"/>
  <c r="K293" i="9"/>
  <c r="K295" i="9"/>
  <c r="K299" i="9"/>
  <c r="K301" i="9"/>
  <c r="K253" i="9"/>
  <c r="K259" i="9"/>
  <c r="K263" i="9"/>
  <c r="K267" i="9"/>
  <c r="K271" i="9"/>
  <c r="K283" i="9"/>
  <c r="I250" i="9"/>
  <c r="I252" i="9"/>
  <c r="I256" i="9"/>
  <c r="I258" i="9"/>
  <c r="I262" i="9"/>
  <c r="I266" i="9"/>
  <c r="I270" i="9"/>
  <c r="I274" i="9"/>
  <c r="I276" i="9"/>
  <c r="I278" i="9"/>
  <c r="I280" i="9"/>
  <c r="I282" i="9"/>
  <c r="I286" i="9"/>
  <c r="I288" i="9"/>
  <c r="I290" i="9"/>
  <c r="I275" i="9"/>
  <c r="I277" i="9"/>
  <c r="I279" i="9"/>
  <c r="I283" i="9"/>
  <c r="I289" i="9"/>
  <c r="I295" i="9"/>
  <c r="I299" i="9"/>
  <c r="I296" i="9"/>
  <c r="I249" i="9"/>
  <c r="I251" i="9"/>
  <c r="I253" i="9"/>
  <c r="I255" i="9"/>
  <c r="I257" i="9"/>
  <c r="I259" i="9"/>
  <c r="I261" i="9"/>
  <c r="I263" i="9"/>
  <c r="I265" i="9"/>
  <c r="I267" i="9"/>
  <c r="I269" i="9"/>
  <c r="I271" i="9"/>
  <c r="I273" i="9"/>
  <c r="I281" i="9"/>
  <c r="I285" i="9"/>
  <c r="I287" i="9"/>
  <c r="I291" i="9"/>
  <c r="I293" i="9"/>
  <c r="I297" i="9"/>
  <c r="I301" i="9"/>
  <c r="I292" i="9"/>
  <c r="I294" i="9"/>
  <c r="I298" i="9"/>
  <c r="I300" i="9"/>
  <c r="I254" i="9"/>
  <c r="I260" i="9"/>
  <c r="I264" i="9"/>
  <c r="I268" i="9"/>
  <c r="I272" i="9"/>
  <c r="I284" i="9"/>
  <c r="O249" i="9"/>
  <c r="O251" i="9"/>
  <c r="O255" i="9"/>
  <c r="O257" i="9"/>
  <c r="O261" i="9"/>
  <c r="O265" i="9"/>
  <c r="O269" i="9"/>
  <c r="O273" i="9"/>
  <c r="O275" i="9"/>
  <c r="O277" i="9"/>
  <c r="O279" i="9"/>
  <c r="O281" i="9"/>
  <c r="O285" i="9"/>
  <c r="O287" i="9"/>
  <c r="O295" i="9"/>
  <c r="O299" i="9"/>
  <c r="O301" i="9"/>
  <c r="O278" i="9"/>
  <c r="O282" i="9"/>
  <c r="O288" i="9"/>
  <c r="O294" i="9"/>
  <c r="O298" i="9"/>
  <c r="O291" i="9"/>
  <c r="O250" i="9"/>
  <c r="O252" i="9"/>
  <c r="O254" i="9"/>
  <c r="O256" i="9"/>
  <c r="O258" i="9"/>
  <c r="O260" i="9"/>
  <c r="O262" i="9"/>
  <c r="O264" i="9"/>
  <c r="O266" i="9"/>
  <c r="O268" i="9"/>
  <c r="O270" i="9"/>
  <c r="O272" i="9"/>
  <c r="O274" i="9"/>
  <c r="O276" i="9"/>
  <c r="O280" i="9"/>
  <c r="O284" i="9"/>
  <c r="O286" i="9"/>
  <c r="O290" i="9"/>
  <c r="O292" i="9"/>
  <c r="O296" i="9"/>
  <c r="O300" i="9"/>
  <c r="O289" i="9"/>
  <c r="O297" i="9"/>
  <c r="O253" i="9"/>
  <c r="O259" i="9"/>
  <c r="O263" i="9"/>
  <c r="O267" i="9"/>
  <c r="O271" i="9"/>
  <c r="O283" i="9"/>
  <c r="O293" i="9"/>
  <c r="M250" i="9"/>
  <c r="M254" i="9"/>
  <c r="M256" i="9"/>
  <c r="M260" i="9"/>
  <c r="M264" i="9"/>
  <c r="M268" i="9"/>
  <c r="M272" i="9"/>
  <c r="M274" i="9"/>
  <c r="M276" i="9"/>
  <c r="M278" i="9"/>
  <c r="M280" i="9"/>
  <c r="M284" i="9"/>
  <c r="M286" i="9"/>
  <c r="M288" i="9"/>
  <c r="M294" i="9"/>
  <c r="M298" i="9"/>
  <c r="M300" i="9"/>
  <c r="M277" i="9"/>
  <c r="M281" i="9"/>
  <c r="M287" i="9"/>
  <c r="M293" i="9"/>
  <c r="M297" i="9"/>
  <c r="M290" i="9"/>
  <c r="M249" i="9"/>
  <c r="M251" i="9"/>
  <c r="M253" i="9"/>
  <c r="M255" i="9"/>
  <c r="M257" i="9"/>
  <c r="M259" i="9"/>
  <c r="M261" i="9"/>
  <c r="M263" i="9"/>
  <c r="M265" i="9"/>
  <c r="M267" i="9"/>
  <c r="M269" i="9"/>
  <c r="M271" i="9"/>
  <c r="M273" i="9"/>
  <c r="M275" i="9"/>
  <c r="M279" i="9"/>
  <c r="M283" i="9"/>
  <c r="M285" i="9"/>
  <c r="M289" i="9"/>
  <c r="M291" i="9"/>
  <c r="M295" i="9"/>
  <c r="M299" i="9"/>
  <c r="M301" i="9"/>
  <c r="M296" i="9"/>
  <c r="M252" i="9"/>
  <c r="M258" i="9"/>
  <c r="M262" i="9"/>
  <c r="M266" i="9"/>
  <c r="M270" i="9"/>
  <c r="M282" i="9"/>
  <c r="M292" i="9"/>
  <c r="O2" i="9"/>
  <c r="G2" i="9"/>
  <c r="M2" i="9"/>
  <c r="K2" i="9"/>
  <c r="I2" i="9"/>
  <c r="I40" i="10"/>
  <c r="I39" i="10"/>
  <c r="I38" i="10"/>
  <c r="I37" i="10"/>
  <c r="U7" i="9" l="1"/>
  <c r="H40" i="10" s="1"/>
  <c r="I36" i="10"/>
  <c r="U3" i="9"/>
  <c r="H36" i="10" s="1"/>
  <c r="U6" i="9"/>
  <c r="H39" i="10" s="1"/>
  <c r="U5" i="9"/>
  <c r="H38" i="10" s="1"/>
  <c r="U4" i="9"/>
  <c r="H37" i="10" s="1"/>
  <c r="E41" i="10"/>
  <c r="I41" i="10" l="1"/>
</calcChain>
</file>

<file path=xl/connections.xml><?xml version="1.0" encoding="utf-8"?>
<connections xmlns="http://schemas.openxmlformats.org/spreadsheetml/2006/main">
  <connection id="1" name="230125RFnn" type="6" refreshedVersion="4" background="1" saveData="1">
    <textPr codePage="65001" sourceFile="G:\SCentral\RADFA\CARPETAS PERSONALES\Tomás\RTLC\Bibliografía\120525RF05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<sst xmlns="http://schemas.openxmlformats.org/spreadsheetml/2006/main" count="70" uniqueCount="54">
  <si>
    <t>x start</t>
  </si>
  <si>
    <t>x end</t>
  </si>
  <si>
    <t>BKG</t>
  </si>
  <si>
    <t>cpm máx</t>
  </si>
  <si>
    <t xml:space="preserve">cpm </t>
  </si>
  <si>
    <t>Rf</t>
  </si>
  <si>
    <t>CPM-BKG</t>
  </si>
  <si>
    <t>-</t>
  </si>
  <si>
    <t>S/N</t>
  </si>
  <si>
    <t>Origen (mm)</t>
  </si>
  <si>
    <t>FWHM</t>
  </si>
  <si>
    <t>FWHM (mm)</t>
  </si>
  <si>
    <r>
      <rPr>
        <b/>
        <sz val="11"/>
        <color theme="1"/>
        <rFont val="Calibri"/>
        <family val="2"/>
        <scheme val="minor"/>
      </rPr>
      <t>Muestra</t>
    </r>
    <r>
      <rPr>
        <sz val="11"/>
        <color theme="1"/>
        <rFont val="Calibri"/>
        <family val="2"/>
        <scheme val="minor"/>
      </rPr>
      <t>: carga automáticamente los parámetros de la medida. Ajustar manualmente los valores de origen y frente del disolvente. Para verificar la integridad del cromatograma, comprobar que la huella corresponde al hash SHA256 calculado para el csv (borrando la propia huella).</t>
    </r>
  </si>
  <si>
    <r>
      <rPr>
        <b/>
        <sz val="11"/>
        <color theme="1"/>
        <rFont val="Calibri"/>
        <family val="2"/>
        <scheme val="minor"/>
      </rPr>
      <t xml:space="preserve">Firma: </t>
    </r>
    <r>
      <rPr>
        <sz val="11"/>
        <color theme="1"/>
        <rFont val="Calibri"/>
        <family val="2"/>
        <scheme val="minor"/>
      </rPr>
      <t>Hacer doble click sobre el recuadro y firmar utilizando un certificado apropiado.</t>
    </r>
  </si>
  <si>
    <r>
      <rPr>
        <b/>
        <sz val="11"/>
        <color theme="1"/>
        <rFont val="Calibri"/>
        <family val="2"/>
        <scheme val="minor"/>
      </rPr>
      <t>Cargar cromatograma:</t>
    </r>
    <r>
      <rPr>
        <sz val="11"/>
        <color theme="1"/>
        <rFont val="Calibri"/>
        <family val="2"/>
        <scheme val="minor"/>
      </rPr>
      <t xml:space="preserve"> En la barra de opciones, seleccionar DATOS y ACTUALIZAR TODO .</t>
    </r>
  </si>
  <si>
    <r>
      <rPr>
        <b/>
        <sz val="11"/>
        <color theme="1"/>
        <rFont val="Calibri"/>
        <family val="2"/>
        <scheme val="minor"/>
      </rPr>
      <t xml:space="preserve">Integración: </t>
    </r>
    <r>
      <rPr>
        <sz val="11"/>
        <color theme="1"/>
        <rFont val="Calibri"/>
        <family val="2"/>
        <scheme val="minor"/>
      </rPr>
      <t>Seleccionar una zona para cálculo del fondo. Para cada pico a integrar, seleccionar los puntos de inicio y fin y el nombre de la especie.</t>
    </r>
  </si>
  <si>
    <t>120 mm</t>
  </si>
  <si>
    <t>SAMPLE</t>
  </si>
  <si>
    <t>Batch:</t>
  </si>
  <si>
    <t>Range:</t>
  </si>
  <si>
    <t>Acquisition time:</t>
  </si>
  <si>
    <t>Date:</t>
  </si>
  <si>
    <t>Operator:</t>
  </si>
  <si>
    <t>SHA256 footprint:</t>
  </si>
  <si>
    <t>Front (mm)</t>
  </si>
  <si>
    <t>AREA 1</t>
  </si>
  <si>
    <t>AREA 2</t>
  </si>
  <si>
    <t>AREA 3</t>
  </si>
  <si>
    <t>AREA 4</t>
  </si>
  <si>
    <t>AREA 5</t>
  </si>
  <si>
    <t>cpm total</t>
  </si>
  <si>
    <t>cpm corrected total</t>
  </si>
  <si>
    <t>Strip length cm</t>
  </si>
  <si>
    <t>Zero</t>
  </si>
  <si>
    <t>Origin cm</t>
  </si>
  <si>
    <t>Position</t>
  </si>
  <si>
    <t>Counts</t>
  </si>
  <si>
    <t>Position (mm)</t>
  </si>
  <si>
    <t>Front cm</t>
  </si>
  <si>
    <t>INTEGRATION</t>
  </si>
  <si>
    <t>Region</t>
  </si>
  <si>
    <t>% Area</t>
  </si>
  <si>
    <t>% Total counts</t>
  </si>
  <si>
    <t>Notes:</t>
  </si>
  <si>
    <t>counts</t>
  </si>
  <si>
    <t>120525RF05</t>
  </si>
  <si>
    <t>TC</t>
  </si>
  <si>
    <t>2 min</t>
  </si>
  <si>
    <t>1e388a35ed35ec228ee7a0d260f37ff9fcf37774ff2714c48258664462bbfe7a</t>
  </si>
  <si>
    <t>12/05/2025, 09:15:55</t>
  </si>
  <si>
    <t>Tc-nanocol.</t>
  </si>
  <si>
    <t>free Tc-99m</t>
  </si>
  <si>
    <t>SIGNATURE</t>
  </si>
  <si>
    <t>SNR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</si>
</sst>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Protection="1"/>
    <xf numFmtId="1" fontId="0" fillId="0" borderId="0" xfId="0" applyNumberFormat="1" applyProtection="1"/>
    <xf numFmtId="1" fontId="0" fillId="0" borderId="0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" fontId="0" fillId="0" borderId="15" xfId="0" applyNumberFormat="1" applyBorder="1" applyProtection="1"/>
    <xf numFmtId="1" fontId="0" fillId="0" borderId="0" xfId="0" applyNumberFormat="1" applyBorder="1" applyProtection="1"/>
    <xf numFmtId="0" fontId="0" fillId="0" borderId="0" xfId="0" applyProtection="1">
      <protection locked="0"/>
    </xf>
    <xf numFmtId="165" fontId="0" fillId="0" borderId="0" xfId="0" applyNumberFormat="1" applyProtection="1"/>
    <xf numFmtId="0" fontId="0" fillId="3" borderId="10" xfId="0" applyFill="1" applyBorder="1" applyAlignment="1" applyProtection="1">
      <alignment horizontal="center" vertical="center"/>
    </xf>
    <xf numFmtId="1" fontId="0" fillId="3" borderId="10" xfId="0" applyNumberFormat="1" applyFill="1" applyBorder="1" applyAlignment="1" applyProtection="1">
      <alignment horizontal="center" vertical="center"/>
    </xf>
    <xf numFmtId="1" fontId="0" fillId="3" borderId="16" xfId="0" applyNumberFormat="1" applyFill="1" applyBorder="1" applyAlignment="1" applyProtection="1">
      <alignment horizontal="center" vertical="center"/>
    </xf>
    <xf numFmtId="164" fontId="0" fillId="3" borderId="10" xfId="0" applyNumberFormat="1" applyFill="1" applyBorder="1" applyAlignment="1" applyProtection="1">
      <alignment horizontal="center" vertical="center"/>
    </xf>
    <xf numFmtId="1" fontId="2" fillId="3" borderId="10" xfId="0" applyNumberFormat="1" applyFont="1" applyFill="1" applyBorder="1" applyAlignment="1" applyProtection="1">
      <alignment horizontal="center" vertical="center"/>
    </xf>
    <xf numFmtId="1" fontId="0" fillId="0" borderId="0" xfId="0" applyNumberFormat="1" applyProtection="1">
      <protection locked="0"/>
    </xf>
    <xf numFmtId="1" fontId="0" fillId="3" borderId="10" xfId="0" applyNumberFormat="1" applyFill="1" applyBorder="1" applyAlignment="1" applyProtection="1">
      <alignment horizontal="center"/>
    </xf>
    <xf numFmtId="1" fontId="0" fillId="3" borderId="10" xfId="0" applyNumberFormat="1" applyFill="1" applyBorder="1" applyProtection="1"/>
    <xf numFmtId="0" fontId="0" fillId="3" borderId="10" xfId="0" applyNumberFormat="1" applyFill="1" applyBorder="1" applyAlignment="1" applyProtection="1">
      <alignment horizontal="center" vertical="center"/>
    </xf>
    <xf numFmtId="1" fontId="0" fillId="3" borderId="8" xfId="0" applyNumberFormat="1" applyFill="1" applyBorder="1" applyAlignment="1" applyProtection="1">
      <alignment horizontal="center" vertical="center"/>
    </xf>
    <xf numFmtId="0" fontId="0" fillId="0" borderId="0" xfId="0" applyAlignment="1">
      <alignment wrapText="1"/>
    </xf>
    <xf numFmtId="0" fontId="3" fillId="0" borderId="0" xfId="0" applyFont="1" applyBorder="1" applyProtection="1"/>
    <xf numFmtId="0" fontId="2" fillId="0" borderId="0" xfId="0" applyFont="1" applyProtection="1"/>
    <xf numFmtId="0" fontId="0" fillId="0" borderId="0" xfId="0" applyBorder="1" applyProtection="1"/>
    <xf numFmtId="1" fontId="2" fillId="0" borderId="0" xfId="0" applyNumberFormat="1" applyFont="1" applyProtection="1"/>
    <xf numFmtId="0" fontId="2" fillId="0" borderId="0" xfId="0" applyFont="1" applyBorder="1" applyProtection="1"/>
    <xf numFmtId="0" fontId="2" fillId="0" borderId="0" xfId="0" applyFont="1" applyBorder="1" applyAlignment="1" applyProtection="1">
      <alignment horizontal="right"/>
    </xf>
    <xf numFmtId="164" fontId="2" fillId="0" borderId="0" xfId="0" applyNumberFormat="1" applyFont="1" applyAlignment="1" applyProtection="1"/>
    <xf numFmtId="164" fontId="3" fillId="0" borderId="0" xfId="0" applyNumberFormat="1" applyFont="1" applyAlignment="1" applyProtection="1"/>
    <xf numFmtId="0" fontId="3" fillId="0" borderId="0" xfId="0" applyFont="1" applyProtection="1"/>
    <xf numFmtId="0" fontId="0" fillId="3" borderId="0" xfId="0" applyFill="1" applyBorder="1" applyProtection="1"/>
    <xf numFmtId="0" fontId="0" fillId="0" borderId="13" xfId="0" applyBorder="1" applyProtection="1"/>
    <xf numFmtId="0" fontId="5" fillId="3" borderId="9" xfId="0" applyFont="1" applyFill="1" applyBorder="1" applyProtection="1"/>
    <xf numFmtId="0" fontId="6" fillId="3" borderId="8" xfId="0" applyFont="1" applyFill="1" applyBorder="1" applyAlignment="1" applyProtection="1">
      <alignment vertical="center"/>
    </xf>
    <xf numFmtId="1" fontId="6" fillId="3" borderId="5" xfId="0" applyNumberFormat="1" applyFont="1" applyFill="1" applyBorder="1" applyAlignment="1" applyProtection="1">
      <alignment vertical="center"/>
    </xf>
    <xf numFmtId="0" fontId="6" fillId="3" borderId="8" xfId="0" applyFont="1" applyFill="1" applyBorder="1" applyAlignment="1" applyProtection="1">
      <alignment horizontal="left" vertical="center"/>
    </xf>
    <xf numFmtId="0" fontId="7" fillId="3" borderId="23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vertical="center"/>
    </xf>
    <xf numFmtId="0" fontId="6" fillId="3" borderId="10" xfId="0" applyFont="1" applyFill="1" applyBorder="1" applyAlignment="1" applyProtection="1">
      <alignment vertical="center"/>
    </xf>
    <xf numFmtId="0" fontId="6" fillId="3" borderId="4" xfId="0" applyFont="1" applyFill="1" applyBorder="1" applyAlignment="1" applyProtection="1">
      <alignment horizontal="left" vertical="center"/>
    </xf>
    <xf numFmtId="0" fontId="1" fillId="3" borderId="24" xfId="0" applyFont="1" applyFill="1" applyBorder="1" applyAlignment="1" applyProtection="1">
      <alignment horizontal="center"/>
    </xf>
    <xf numFmtId="0" fontId="1" fillId="3" borderId="27" xfId="0" applyFont="1" applyFill="1" applyBorder="1" applyAlignment="1" applyProtection="1">
      <alignment horizontal="center"/>
    </xf>
    <xf numFmtId="164" fontId="0" fillId="3" borderId="10" xfId="0" applyNumberFormat="1" applyFill="1" applyBorder="1" applyAlignment="1" applyProtection="1">
      <alignment horizontal="center"/>
    </xf>
    <xf numFmtId="0" fontId="0" fillId="3" borderId="10" xfId="0" applyNumberFormat="1" applyFill="1" applyBorder="1" applyAlignment="1" applyProtection="1">
      <alignment horizontal="center"/>
    </xf>
    <xf numFmtId="1" fontId="0" fillId="3" borderId="26" xfId="0" applyNumberFormat="1" applyFill="1" applyBorder="1" applyAlignment="1" applyProtection="1">
      <alignment horizontal="center"/>
    </xf>
    <xf numFmtId="164" fontId="0" fillId="3" borderId="26" xfId="0" applyNumberForma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" fontId="0" fillId="3" borderId="18" xfId="0" applyNumberFormat="1" applyFill="1" applyBorder="1" applyAlignment="1" applyProtection="1">
      <alignment horizontal="center"/>
    </xf>
    <xf numFmtId="1" fontId="0" fillId="2" borderId="12" xfId="0" applyNumberFormat="1" applyFill="1" applyBorder="1" applyAlignment="1" applyProtection="1">
      <alignment horizontal="center"/>
    </xf>
    <xf numFmtId="164" fontId="0" fillId="3" borderId="18" xfId="0" applyNumberFormat="1" applyFill="1" applyBorder="1" applyAlignment="1" applyProtection="1">
      <alignment horizontal="center"/>
    </xf>
    <xf numFmtId="14" fontId="0" fillId="0" borderId="0" xfId="0" applyNumberFormat="1" applyProtection="1"/>
    <xf numFmtId="0" fontId="0" fillId="0" borderId="20" xfId="0" applyBorder="1" applyProtection="1"/>
    <xf numFmtId="0" fontId="0" fillId="0" borderId="21" xfId="0" applyBorder="1" applyProtection="1"/>
    <xf numFmtId="0" fontId="0" fillId="0" borderId="7" xfId="0" applyBorder="1" applyProtection="1"/>
    <xf numFmtId="0" fontId="0" fillId="0" borderId="14" xfId="0" applyBorder="1" applyProtection="1"/>
    <xf numFmtId="0" fontId="0" fillId="0" borderId="22" xfId="0" applyBorder="1" applyProtection="1"/>
    <xf numFmtId="1" fontId="6" fillId="2" borderId="10" xfId="0" applyNumberFormat="1" applyFont="1" applyFill="1" applyBorder="1" applyAlignment="1" applyProtection="1">
      <alignment horizontal="center" vertical="center"/>
      <protection locked="0"/>
    </xf>
    <xf numFmtId="1" fontId="6" fillId="2" borderId="25" xfId="0" applyNumberFormat="1" applyFont="1" applyFill="1" applyBorder="1" applyAlignment="1" applyProtection="1">
      <alignment horizontal="center" vertical="center"/>
      <protection locked="0"/>
    </xf>
    <xf numFmtId="0" fontId="0" fillId="3" borderId="10" xfId="0" applyFill="1" applyBorder="1" applyAlignment="1" applyProtection="1">
      <alignment horizontal="center"/>
    </xf>
    <xf numFmtId="1" fontId="0" fillId="0" borderId="9" xfId="0" applyNumberForma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2" fillId="0" borderId="11" xfId="0" applyFont="1" applyBorder="1" applyProtection="1">
      <protection locked="0"/>
    </xf>
    <xf numFmtId="1" fontId="0" fillId="0" borderId="35" xfId="0" applyNumberFormat="1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0" fillId="0" borderId="35" xfId="0" applyBorder="1" applyProtection="1">
      <protection locked="0"/>
    </xf>
    <xf numFmtId="0" fontId="2" fillId="0" borderId="36" xfId="0" applyFont="1" applyBorder="1" applyProtection="1">
      <protection locked="0"/>
    </xf>
    <xf numFmtId="0" fontId="0" fillId="0" borderId="34" xfId="0" applyBorder="1" applyAlignment="1" applyProtection="1">
      <alignment horizontal="center"/>
      <protection locked="0"/>
    </xf>
    <xf numFmtId="0" fontId="7" fillId="0" borderId="33" xfId="0" applyFont="1" applyBorder="1" applyAlignment="1" applyProtection="1">
      <alignment horizontal="left" vertical="center"/>
    </xf>
    <xf numFmtId="0" fontId="0" fillId="2" borderId="10" xfId="0" applyNumberFormat="1" applyFill="1" applyBorder="1" applyAlignment="1" applyProtection="1">
      <alignment horizontal="center"/>
      <protection locked="0"/>
    </xf>
    <xf numFmtId="0" fontId="0" fillId="2" borderId="26" xfId="0" applyNumberFormat="1" applyFill="1" applyBorder="1" applyAlignment="1" applyProtection="1">
      <alignment horizontal="center"/>
      <protection locked="0"/>
    </xf>
    <xf numFmtId="1" fontId="0" fillId="3" borderId="8" xfId="0" applyNumberFormat="1" applyFont="1" applyFill="1" applyBorder="1" applyAlignment="1" applyProtection="1">
      <alignment horizontal="center"/>
    </xf>
    <xf numFmtId="1" fontId="0" fillId="3" borderId="37" xfId="0" applyNumberFormat="1" applyFont="1" applyFill="1" applyBorder="1" applyAlignment="1" applyProtection="1">
      <alignment horizontal="center"/>
    </xf>
    <xf numFmtId="1" fontId="0" fillId="2" borderId="9" xfId="0" applyNumberFormat="1" applyFill="1" applyBorder="1" applyAlignment="1" applyProtection="1">
      <alignment horizontal="center"/>
    </xf>
    <xf numFmtId="164" fontId="1" fillId="3" borderId="25" xfId="0" applyNumberFormat="1" applyFont="1" applyFill="1" applyBorder="1" applyAlignment="1" applyProtection="1">
      <alignment horizontal="center"/>
    </xf>
    <xf numFmtId="1" fontId="0" fillId="2" borderId="13" xfId="0" applyNumberFormat="1" applyFill="1" applyBorder="1" applyAlignment="1" applyProtection="1">
      <alignment horizontal="center"/>
    </xf>
    <xf numFmtId="0" fontId="0" fillId="3" borderId="26" xfId="0" applyNumberFormat="1" applyFill="1" applyBorder="1" applyAlignment="1" applyProtection="1">
      <alignment horizontal="center"/>
    </xf>
    <xf numFmtId="1" fontId="0" fillId="3" borderId="8" xfId="0" applyNumberFormat="1" applyFill="1" applyBorder="1" applyAlignment="1" applyProtection="1">
      <alignment horizontal="center" vertical="center"/>
    </xf>
    <xf numFmtId="1" fontId="0" fillId="3" borderId="23" xfId="0" applyNumberFormat="1" applyFill="1" applyBorder="1" applyAlignment="1" applyProtection="1">
      <alignment horizontal="center" vertical="center"/>
    </xf>
    <xf numFmtId="0" fontId="1" fillId="3" borderId="29" xfId="0" applyFont="1" applyFill="1" applyBorder="1" applyAlignment="1" applyProtection="1">
      <alignment horizontal="center"/>
    </xf>
    <xf numFmtId="0" fontId="6" fillId="3" borderId="5" xfId="0" applyFont="1" applyFill="1" applyBorder="1" applyAlignment="1" applyProtection="1">
      <alignment horizontal="left" vertical="center"/>
    </xf>
    <xf numFmtId="0" fontId="6" fillId="3" borderId="30" xfId="0" applyFont="1" applyFill="1" applyBorder="1" applyAlignment="1" applyProtection="1">
      <alignment horizontal="left" vertical="center"/>
    </xf>
    <xf numFmtId="0" fontId="6" fillId="3" borderId="31" xfId="0" applyFont="1" applyFill="1" applyBorder="1" applyAlignment="1" applyProtection="1">
      <alignment horizontal="left" vertical="center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0" fillId="3" borderId="9" xfId="0" applyFill="1" applyBorder="1" applyAlignment="1" applyProtection="1">
      <alignment horizontal="center"/>
    </xf>
    <xf numFmtId="0" fontId="0" fillId="3" borderId="11" xfId="0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0" fontId="1" fillId="3" borderId="19" xfId="0" applyFont="1" applyFill="1" applyBorder="1" applyAlignment="1" applyProtection="1">
      <alignment horizontal="center"/>
    </xf>
    <xf numFmtId="0" fontId="1" fillId="3" borderId="2" xfId="0" applyFont="1" applyFill="1" applyBorder="1" applyAlignment="1" applyProtection="1">
      <alignment horizontal="center"/>
    </xf>
    <xf numFmtId="0" fontId="4" fillId="3" borderId="3" xfId="0" applyFont="1" applyFill="1" applyBorder="1" applyAlignment="1" applyProtection="1">
      <alignment horizontal="left"/>
    </xf>
    <xf numFmtId="0" fontId="4" fillId="3" borderId="17" xfId="0" applyFont="1" applyFill="1" applyBorder="1" applyAlignment="1" applyProtection="1">
      <alignment horizontal="left"/>
    </xf>
    <xf numFmtId="0" fontId="4" fillId="3" borderId="6" xfId="0" applyFont="1" applyFill="1" applyBorder="1" applyAlignment="1" applyProtection="1">
      <alignment horizontal="left"/>
    </xf>
    <xf numFmtId="1" fontId="1" fillId="3" borderId="24" xfId="0" applyNumberFormat="1" applyFont="1" applyFill="1" applyBorder="1" applyAlignment="1" applyProtection="1">
      <alignment horizontal="center" vertical="center"/>
    </xf>
    <xf numFmtId="1" fontId="1" fillId="3" borderId="10" xfId="0" applyNumberFormat="1" applyFont="1" applyFill="1" applyBorder="1" applyAlignment="1" applyProtection="1">
      <alignment horizontal="center" vertical="center"/>
    </xf>
    <xf numFmtId="0" fontId="1" fillId="3" borderId="24" xfId="0" applyFont="1" applyFill="1" applyBorder="1" applyAlignment="1" applyProtection="1">
      <alignment horizontal="center" vertical="center" wrapText="1"/>
    </xf>
    <xf numFmtId="0" fontId="1" fillId="3" borderId="10" xfId="0" applyFont="1" applyFill="1" applyBorder="1" applyAlignment="1" applyProtection="1">
      <alignment horizontal="center" vertical="center" wrapText="1"/>
    </xf>
    <xf numFmtId="0" fontId="1" fillId="3" borderId="25" xfId="0" applyFont="1" applyFill="1" applyBorder="1" applyAlignment="1" applyProtection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</xf>
    <xf numFmtId="1" fontId="1" fillId="3" borderId="10" xfId="0" applyNumberFormat="1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left" vertical="center"/>
    </xf>
    <xf numFmtId="0" fontId="6" fillId="3" borderId="32" xfId="0" applyFont="1" applyFill="1" applyBorder="1" applyAlignment="1" applyProtection="1">
      <alignment horizontal="left" vertical="center"/>
    </xf>
    <xf numFmtId="0" fontId="6" fillId="3" borderId="8" xfId="0" applyFont="1" applyFill="1" applyBorder="1" applyAlignment="1" applyProtection="1">
      <alignment horizontal="center" vertical="center"/>
    </xf>
    <xf numFmtId="11" fontId="0" fillId="0" borderId="0" xfId="0" applyNumberFormat="1"/>
    <xf numFmtId="0" fontId="0" fillId="2" borderId="27" xfId="0" applyFont="1" applyFill="1" applyBorder="1" applyAlignment="1" applyProtection="1">
      <alignment horizontal="center"/>
      <protection locked="0"/>
    </xf>
    <xf numFmtId="0" fontId="0" fillId="2" borderId="28" xfId="0" applyFont="1" applyFill="1" applyBorder="1" applyAlignment="1" applyProtection="1">
      <alignment horizontal="center"/>
      <protection locked="0"/>
    </xf>
    <xf numFmtId="164" fontId="1" fillId="3" borderId="38" xfId="0" applyNumberFormat="1" applyFont="1" applyFill="1" applyBorder="1" applyAlignment="1" applyProtection="1">
      <alignment horizontal="center"/>
    </xf>
    <xf numFmtId="0" fontId="2" fillId="0" borderId="33" xfId="0" applyFont="1" applyBorder="1" applyProtection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57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834098632407831"/>
          <c:y val="2.5515269948631788E-2"/>
          <c:w val="0.76968404475756325"/>
          <c:h val="0.86536470665727383"/>
        </c:manualLayout>
      </c:layout>
      <c:scatterChart>
        <c:scatterStyle val="lineMarker"/>
        <c:varyColors val="0"/>
        <c:ser>
          <c:idx val="0"/>
          <c:order val="0"/>
          <c:tx>
            <c:v>Counts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CALC!$C$2:$C$301</c:f>
              <c:numCache>
                <c:formatCode>General</c:formatCode>
                <c:ptCount val="300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</c:numCache>
            </c:numRef>
          </c:xVal>
          <c:yVal>
            <c:numRef>
              <c:f>CALC!$D$2:$D$301</c:f>
              <c:numCache>
                <c:formatCode>General</c:formatCode>
                <c:ptCount val="300"/>
                <c:pt idx="0">
                  <c:v>6</c:v>
                </c:pt>
                <c:pt idx="1">
                  <c:v>4</c:v>
                </c:pt>
                <c:pt idx="2">
                  <c:v>4</c:v>
                </c:pt>
                <c:pt idx="3">
                  <c:v>6</c:v>
                </c:pt>
                <c:pt idx="4">
                  <c:v>11</c:v>
                </c:pt>
                <c:pt idx="5">
                  <c:v>6</c:v>
                </c:pt>
                <c:pt idx="6">
                  <c:v>7</c:v>
                </c:pt>
                <c:pt idx="7">
                  <c:v>10</c:v>
                </c:pt>
                <c:pt idx="8">
                  <c:v>7</c:v>
                </c:pt>
                <c:pt idx="9">
                  <c:v>12</c:v>
                </c:pt>
                <c:pt idx="10">
                  <c:v>9</c:v>
                </c:pt>
                <c:pt idx="11">
                  <c:v>16</c:v>
                </c:pt>
                <c:pt idx="12">
                  <c:v>19</c:v>
                </c:pt>
                <c:pt idx="13">
                  <c:v>12</c:v>
                </c:pt>
                <c:pt idx="14">
                  <c:v>23</c:v>
                </c:pt>
                <c:pt idx="15">
                  <c:v>22</c:v>
                </c:pt>
                <c:pt idx="16">
                  <c:v>36</c:v>
                </c:pt>
                <c:pt idx="17">
                  <c:v>63</c:v>
                </c:pt>
                <c:pt idx="18">
                  <c:v>110</c:v>
                </c:pt>
                <c:pt idx="19">
                  <c:v>202</c:v>
                </c:pt>
                <c:pt idx="20">
                  <c:v>289</c:v>
                </c:pt>
                <c:pt idx="21">
                  <c:v>387</c:v>
                </c:pt>
                <c:pt idx="22">
                  <c:v>509</c:v>
                </c:pt>
                <c:pt idx="23">
                  <c:v>621</c:v>
                </c:pt>
                <c:pt idx="24">
                  <c:v>745</c:v>
                </c:pt>
                <c:pt idx="25">
                  <c:v>853</c:v>
                </c:pt>
                <c:pt idx="26">
                  <c:v>977</c:v>
                </c:pt>
                <c:pt idx="27">
                  <c:v>920</c:v>
                </c:pt>
                <c:pt idx="28">
                  <c:v>990</c:v>
                </c:pt>
                <c:pt idx="29">
                  <c:v>1047</c:v>
                </c:pt>
                <c:pt idx="30">
                  <c:v>1061</c:v>
                </c:pt>
                <c:pt idx="31">
                  <c:v>1030</c:v>
                </c:pt>
                <c:pt idx="32">
                  <c:v>972</c:v>
                </c:pt>
                <c:pt idx="33">
                  <c:v>922</c:v>
                </c:pt>
                <c:pt idx="34">
                  <c:v>717</c:v>
                </c:pt>
                <c:pt idx="35">
                  <c:v>648</c:v>
                </c:pt>
                <c:pt idx="36">
                  <c:v>475</c:v>
                </c:pt>
                <c:pt idx="37">
                  <c:v>342</c:v>
                </c:pt>
                <c:pt idx="38">
                  <c:v>260</c:v>
                </c:pt>
                <c:pt idx="39">
                  <c:v>143</c:v>
                </c:pt>
                <c:pt idx="40">
                  <c:v>104</c:v>
                </c:pt>
                <c:pt idx="41">
                  <c:v>62</c:v>
                </c:pt>
                <c:pt idx="42">
                  <c:v>38</c:v>
                </c:pt>
                <c:pt idx="43">
                  <c:v>27</c:v>
                </c:pt>
                <c:pt idx="44">
                  <c:v>25</c:v>
                </c:pt>
                <c:pt idx="45">
                  <c:v>15</c:v>
                </c:pt>
                <c:pt idx="46">
                  <c:v>10</c:v>
                </c:pt>
                <c:pt idx="47">
                  <c:v>12</c:v>
                </c:pt>
                <c:pt idx="48">
                  <c:v>8</c:v>
                </c:pt>
                <c:pt idx="49">
                  <c:v>13</c:v>
                </c:pt>
                <c:pt idx="50">
                  <c:v>17</c:v>
                </c:pt>
                <c:pt idx="51">
                  <c:v>8</c:v>
                </c:pt>
                <c:pt idx="52">
                  <c:v>6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7</c:v>
                </c:pt>
                <c:pt idx="58">
                  <c:v>3</c:v>
                </c:pt>
                <c:pt idx="59">
                  <c:v>4</c:v>
                </c:pt>
                <c:pt idx="60">
                  <c:v>4</c:v>
                </c:pt>
                <c:pt idx="61">
                  <c:v>3</c:v>
                </c:pt>
                <c:pt idx="62">
                  <c:v>2</c:v>
                </c:pt>
                <c:pt idx="63">
                  <c:v>6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4</c:v>
                </c:pt>
                <c:pt idx="68">
                  <c:v>2</c:v>
                </c:pt>
                <c:pt idx="69">
                  <c:v>4</c:v>
                </c:pt>
                <c:pt idx="70">
                  <c:v>1</c:v>
                </c:pt>
                <c:pt idx="71">
                  <c:v>8</c:v>
                </c:pt>
                <c:pt idx="72">
                  <c:v>3</c:v>
                </c:pt>
                <c:pt idx="73">
                  <c:v>3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3</c:v>
                </c:pt>
                <c:pt idx="78">
                  <c:v>1</c:v>
                </c:pt>
                <c:pt idx="79">
                  <c:v>3</c:v>
                </c:pt>
                <c:pt idx="80">
                  <c:v>1</c:v>
                </c:pt>
                <c:pt idx="81">
                  <c:v>0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3</c:v>
                </c:pt>
                <c:pt idx="86">
                  <c:v>2</c:v>
                </c:pt>
                <c:pt idx="87">
                  <c:v>4</c:v>
                </c:pt>
                <c:pt idx="88">
                  <c:v>3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3</c:v>
                </c:pt>
                <c:pt idx="93">
                  <c:v>3</c:v>
                </c:pt>
                <c:pt idx="94">
                  <c:v>1</c:v>
                </c:pt>
                <c:pt idx="95">
                  <c:v>3</c:v>
                </c:pt>
                <c:pt idx="96">
                  <c:v>3</c:v>
                </c:pt>
                <c:pt idx="97">
                  <c:v>2</c:v>
                </c:pt>
                <c:pt idx="98">
                  <c:v>6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7</c:v>
                </c:pt>
                <c:pt idx="103">
                  <c:v>1</c:v>
                </c:pt>
                <c:pt idx="104">
                  <c:v>0</c:v>
                </c:pt>
                <c:pt idx="105">
                  <c:v>5</c:v>
                </c:pt>
                <c:pt idx="106">
                  <c:v>5</c:v>
                </c:pt>
                <c:pt idx="107">
                  <c:v>1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3</c:v>
                </c:pt>
                <c:pt idx="112">
                  <c:v>1</c:v>
                </c:pt>
                <c:pt idx="113">
                  <c:v>2</c:v>
                </c:pt>
                <c:pt idx="114">
                  <c:v>3</c:v>
                </c:pt>
                <c:pt idx="115">
                  <c:v>2</c:v>
                </c:pt>
                <c:pt idx="116">
                  <c:v>4</c:v>
                </c:pt>
                <c:pt idx="117">
                  <c:v>4</c:v>
                </c:pt>
                <c:pt idx="118">
                  <c:v>1</c:v>
                </c:pt>
                <c:pt idx="119">
                  <c:v>2</c:v>
                </c:pt>
                <c:pt idx="120">
                  <c:v>3</c:v>
                </c:pt>
                <c:pt idx="121">
                  <c:v>3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5</c:v>
                </c:pt>
                <c:pt idx="128">
                  <c:v>6</c:v>
                </c:pt>
                <c:pt idx="129">
                  <c:v>5</c:v>
                </c:pt>
                <c:pt idx="130">
                  <c:v>6</c:v>
                </c:pt>
                <c:pt idx="131">
                  <c:v>4</c:v>
                </c:pt>
                <c:pt idx="132">
                  <c:v>4</c:v>
                </c:pt>
                <c:pt idx="133">
                  <c:v>2</c:v>
                </c:pt>
                <c:pt idx="134">
                  <c:v>5</c:v>
                </c:pt>
                <c:pt idx="135">
                  <c:v>3</c:v>
                </c:pt>
                <c:pt idx="136">
                  <c:v>5</c:v>
                </c:pt>
                <c:pt idx="137">
                  <c:v>1</c:v>
                </c:pt>
                <c:pt idx="138">
                  <c:v>0</c:v>
                </c:pt>
                <c:pt idx="139">
                  <c:v>6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5</c:v>
                </c:pt>
                <c:pt idx="144">
                  <c:v>4</c:v>
                </c:pt>
                <c:pt idx="145">
                  <c:v>4</c:v>
                </c:pt>
                <c:pt idx="146">
                  <c:v>4</c:v>
                </c:pt>
                <c:pt idx="147">
                  <c:v>7</c:v>
                </c:pt>
                <c:pt idx="148">
                  <c:v>2</c:v>
                </c:pt>
                <c:pt idx="149">
                  <c:v>1</c:v>
                </c:pt>
                <c:pt idx="150">
                  <c:v>3</c:v>
                </c:pt>
                <c:pt idx="151">
                  <c:v>3</c:v>
                </c:pt>
                <c:pt idx="152">
                  <c:v>6</c:v>
                </c:pt>
                <c:pt idx="153">
                  <c:v>6</c:v>
                </c:pt>
                <c:pt idx="154">
                  <c:v>2</c:v>
                </c:pt>
                <c:pt idx="155">
                  <c:v>3</c:v>
                </c:pt>
                <c:pt idx="156">
                  <c:v>6</c:v>
                </c:pt>
                <c:pt idx="157">
                  <c:v>7</c:v>
                </c:pt>
                <c:pt idx="158">
                  <c:v>3</c:v>
                </c:pt>
                <c:pt idx="159">
                  <c:v>3</c:v>
                </c:pt>
                <c:pt idx="160">
                  <c:v>4</c:v>
                </c:pt>
                <c:pt idx="161">
                  <c:v>1</c:v>
                </c:pt>
                <c:pt idx="162">
                  <c:v>5</c:v>
                </c:pt>
                <c:pt idx="163">
                  <c:v>6</c:v>
                </c:pt>
                <c:pt idx="164">
                  <c:v>8</c:v>
                </c:pt>
                <c:pt idx="165">
                  <c:v>5</c:v>
                </c:pt>
                <c:pt idx="166">
                  <c:v>5</c:v>
                </c:pt>
                <c:pt idx="167">
                  <c:v>2</c:v>
                </c:pt>
                <c:pt idx="168">
                  <c:v>7</c:v>
                </c:pt>
                <c:pt idx="169">
                  <c:v>5</c:v>
                </c:pt>
                <c:pt idx="170">
                  <c:v>3</c:v>
                </c:pt>
                <c:pt idx="171">
                  <c:v>7</c:v>
                </c:pt>
                <c:pt idx="172">
                  <c:v>4</c:v>
                </c:pt>
                <c:pt idx="173">
                  <c:v>4</c:v>
                </c:pt>
                <c:pt idx="174">
                  <c:v>3</c:v>
                </c:pt>
                <c:pt idx="175">
                  <c:v>6</c:v>
                </c:pt>
                <c:pt idx="176">
                  <c:v>2</c:v>
                </c:pt>
                <c:pt idx="177">
                  <c:v>9</c:v>
                </c:pt>
                <c:pt idx="178">
                  <c:v>5</c:v>
                </c:pt>
                <c:pt idx="179">
                  <c:v>4</c:v>
                </c:pt>
                <c:pt idx="180">
                  <c:v>0</c:v>
                </c:pt>
                <c:pt idx="181">
                  <c:v>7</c:v>
                </c:pt>
                <c:pt idx="182">
                  <c:v>3</c:v>
                </c:pt>
                <c:pt idx="183">
                  <c:v>5</c:v>
                </c:pt>
                <c:pt idx="184">
                  <c:v>6</c:v>
                </c:pt>
                <c:pt idx="185">
                  <c:v>3</c:v>
                </c:pt>
                <c:pt idx="186">
                  <c:v>2</c:v>
                </c:pt>
                <c:pt idx="187">
                  <c:v>3</c:v>
                </c:pt>
                <c:pt idx="188">
                  <c:v>8</c:v>
                </c:pt>
                <c:pt idx="189">
                  <c:v>7</c:v>
                </c:pt>
                <c:pt idx="190">
                  <c:v>6</c:v>
                </c:pt>
                <c:pt idx="191">
                  <c:v>3</c:v>
                </c:pt>
                <c:pt idx="192">
                  <c:v>2</c:v>
                </c:pt>
                <c:pt idx="193">
                  <c:v>3</c:v>
                </c:pt>
                <c:pt idx="194">
                  <c:v>6</c:v>
                </c:pt>
                <c:pt idx="195">
                  <c:v>3</c:v>
                </c:pt>
                <c:pt idx="196">
                  <c:v>2</c:v>
                </c:pt>
                <c:pt idx="197">
                  <c:v>3</c:v>
                </c:pt>
                <c:pt idx="198">
                  <c:v>2</c:v>
                </c:pt>
                <c:pt idx="199">
                  <c:v>2</c:v>
                </c:pt>
                <c:pt idx="200">
                  <c:v>3</c:v>
                </c:pt>
                <c:pt idx="201">
                  <c:v>5</c:v>
                </c:pt>
                <c:pt idx="202">
                  <c:v>4</c:v>
                </c:pt>
                <c:pt idx="203">
                  <c:v>2</c:v>
                </c:pt>
                <c:pt idx="204">
                  <c:v>1</c:v>
                </c:pt>
                <c:pt idx="205">
                  <c:v>4</c:v>
                </c:pt>
                <c:pt idx="206">
                  <c:v>3</c:v>
                </c:pt>
                <c:pt idx="207">
                  <c:v>4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3</c:v>
                </c:pt>
                <c:pt idx="212">
                  <c:v>4</c:v>
                </c:pt>
                <c:pt idx="213">
                  <c:v>6</c:v>
                </c:pt>
                <c:pt idx="214">
                  <c:v>5</c:v>
                </c:pt>
                <c:pt idx="215">
                  <c:v>1</c:v>
                </c:pt>
                <c:pt idx="216">
                  <c:v>5</c:v>
                </c:pt>
                <c:pt idx="217">
                  <c:v>1</c:v>
                </c:pt>
                <c:pt idx="218">
                  <c:v>5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3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7</c:v>
                </c:pt>
                <c:pt idx="227">
                  <c:v>2</c:v>
                </c:pt>
                <c:pt idx="228">
                  <c:v>3</c:v>
                </c:pt>
                <c:pt idx="229">
                  <c:v>5</c:v>
                </c:pt>
                <c:pt idx="230">
                  <c:v>0</c:v>
                </c:pt>
                <c:pt idx="231">
                  <c:v>4</c:v>
                </c:pt>
                <c:pt idx="232">
                  <c:v>2</c:v>
                </c:pt>
                <c:pt idx="233">
                  <c:v>6</c:v>
                </c:pt>
                <c:pt idx="234">
                  <c:v>2</c:v>
                </c:pt>
                <c:pt idx="235">
                  <c:v>4</c:v>
                </c:pt>
                <c:pt idx="236">
                  <c:v>4</c:v>
                </c:pt>
                <c:pt idx="237">
                  <c:v>2</c:v>
                </c:pt>
                <c:pt idx="238">
                  <c:v>4</c:v>
                </c:pt>
                <c:pt idx="239">
                  <c:v>3</c:v>
                </c:pt>
                <c:pt idx="240">
                  <c:v>1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</c:numCache>
            </c:numRef>
          </c:yVal>
          <c:smooth val="0"/>
        </c:ser>
        <c:ser>
          <c:idx val="1"/>
          <c:order val="1"/>
          <c:tx>
            <c:v>BKG</c:v>
          </c:tx>
          <c:spPr>
            <a:ln w="25400">
              <a:solidFill>
                <a:srgbClr val="C0504D">
                  <a:shade val="65000"/>
                  <a:shade val="95000"/>
                  <a:satMod val="105000"/>
                </a:srgbClr>
              </a:solidFill>
              <a:prstDash val="dash"/>
            </a:ln>
          </c:spPr>
          <c:marker>
            <c:symbol val="none"/>
          </c:marker>
          <c:xVal>
            <c:numRef>
              <c:f>(CALC!$V$10,CALC!$V$8)</c:f>
              <c:numCache>
                <c:formatCode>0</c:formatCode>
                <c:ptCount val="2"/>
                <c:pt idx="0">
                  <c:v>0</c:v>
                </c:pt>
                <c:pt idx="1">
                  <c:v>120</c:v>
                </c:pt>
              </c:numCache>
            </c:numRef>
          </c:xVal>
          <c:yVal>
            <c:numRef>
              <c:f>(RESULTS!$E$35,RESULTS!$E$35)</c:f>
              <c:numCache>
                <c:formatCode>0</c:formatCode>
                <c:ptCount val="2"/>
                <c:pt idx="0">
                  <c:v>3.2195121951219514</c:v>
                </c:pt>
                <c:pt idx="1">
                  <c:v>3.2195121951219514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RESULTS!$B$36</c:f>
              <c:strCache>
                <c:ptCount val="1"/>
                <c:pt idx="0">
                  <c:v>Tc-nanocol.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(RESULTS!$C$36,RESULTS!$C$36)</c:f>
              <c:numCache>
                <c:formatCode>General</c:formatCode>
                <c:ptCount val="2"/>
                <c:pt idx="0">
                  <c:v>6</c:v>
                </c:pt>
                <c:pt idx="1">
                  <c:v>6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RESULTS!$B$36</c:f>
              <c:strCache>
                <c:ptCount val="1"/>
                <c:pt idx="0">
                  <c:v>Tc-nanocol.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3814524460084276"/>
                  <c:y val="-3.6961017817141811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(RESULTS!$D$36,RESULTS!$D$36)</c:f>
              <c:numCache>
                <c:formatCode>General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RESULTS!$B$37</c:f>
              <c:strCache>
                <c:ptCount val="1"/>
                <c:pt idx="0">
                  <c:v>free Tc-99m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(RESULTS!$C$37,RESULTS!$C$37)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RESULTS!$B$37</c:f>
              <c:strCache>
                <c:ptCount val="1"/>
                <c:pt idx="0">
                  <c:v>free Tc-99m</c:v>
                </c:pt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-0.13054852686432666"/>
                  <c:y val="-6.4077879981156702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1"/>
            <c:showPercent val="0"/>
            <c:showBubbleSize val="0"/>
            <c:showLeaderLines val="0"/>
          </c:dLbls>
          <c:xVal>
            <c:numRef>
              <c:f>(RESULTS!$D$37,RESULTS!$D$37)</c:f>
              <c:numCache>
                <c:formatCode>General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RESULTS!$B$38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(RESULTS!$C$38,RESULTS!$C$38)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RESULTS!$B$38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12498352277367616"/>
                  <c:y val="-2.9568852962227068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"/>
              <c:delete val="1"/>
            </c:dLbl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(RESULTS!$D$38,RESULTS!$D$38)</c:f>
              <c:numCache>
                <c:formatCode>General</c:formatCode>
                <c:ptCount val="2"/>
              </c:numCache>
            </c:numRef>
          </c:xVal>
          <c:yVal>
            <c:numRef>
              <c:f>(CALC!$V$4,CALC!$V$10)</c:f>
              <c:numCache>
                <c:formatCode>0</c:formatCode>
                <c:ptCount val="2"/>
                <c:pt idx="0">
                  <c:v>1061</c:v>
                </c:pt>
                <c:pt idx="1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RESULTS!$B$39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(RESULTS!$C$39,RESULTS!$C$39)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RESULTS!$B$39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0.11673183529077999"/>
                  <c:y val="-7.1464045016453051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(RESULTS!$D$39,RESULTS!$D$39)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RESULTS!$B$40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xVal>
            <c:numRef>
              <c:f>(RESULTS!$C$40,RESULTS!$C$40)</c:f>
              <c:numCache>
                <c:formatCode>General</c:formatCode>
                <c:ptCount val="2"/>
              </c:numCache>
            </c:numRef>
          </c:xVal>
          <c:yVal>
            <c:numRef>
              <c:f>(CALC!$V$4,CALC!$V$10)</c:f>
              <c:numCache>
                <c:formatCode>0</c:formatCode>
                <c:ptCount val="2"/>
                <c:pt idx="0">
                  <c:v>1061</c:v>
                </c:pt>
                <c:pt idx="1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RESULTS!$B$40</c:f>
              <c:strCache>
                <c:ptCount val="1"/>
              </c:strCache>
            </c:strRef>
          </c:tx>
          <c:spPr>
            <a:ln w="12700">
              <a:solidFill>
                <a:srgbClr val="00B0F0"/>
              </a:solidFill>
            </a:ln>
          </c:spPr>
          <c:marker>
            <c:symbol val="none"/>
          </c:marker>
          <c:dLbls>
            <c:dLbl>
              <c:idx val="1"/>
              <c:layout>
                <c:manualLayout>
                  <c:x val="-7.961007718505933E-2"/>
                  <c:y val="-3.4496833837124645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(RESULTS!$D$40,RESULTS!$D$40)</c:f>
              <c:numCache>
                <c:formatCode>General</c:formatCode>
                <c:ptCount val="2"/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12"/>
          <c:order val="12"/>
          <c:tx>
            <c:v>ORIGIN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(CALC!$V$12,CALC!$V$12)</c:f>
              <c:numCache>
                <c:formatCode>0</c:formatCode>
                <c:ptCount val="2"/>
                <c:pt idx="0">
                  <c:v>15</c:v>
                </c:pt>
                <c:pt idx="1">
                  <c:v>15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ser>
          <c:idx val="13"/>
          <c:order val="13"/>
          <c:tx>
            <c:v>FRONT</c:v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(CALC!$V$14,CALC!$V$14)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(CALC!$V$10,CALC!$V$4)</c:f>
              <c:numCache>
                <c:formatCode>0</c:formatCode>
                <c:ptCount val="2"/>
                <c:pt idx="0">
                  <c:v>0</c:v>
                </c:pt>
                <c:pt idx="1">
                  <c:v>1061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85856"/>
        <c:axId val="185004416"/>
      </c:scatterChart>
      <c:valAx>
        <c:axId val="184985856"/>
        <c:scaling>
          <c:orientation val="minMax"/>
          <c:max val="12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mm</a:t>
                </a:r>
              </a:p>
            </c:rich>
          </c:tx>
          <c:layout>
            <c:manualLayout>
              <c:xMode val="edge"/>
              <c:yMode val="edge"/>
              <c:x val="0.9442130128470787"/>
              <c:y val="0.93225139520426858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txPr>
          <a:bodyPr/>
          <a:lstStyle/>
          <a:p>
            <a:pPr>
              <a:defRPr b="0"/>
            </a:pPr>
            <a:endParaRPr lang="es-ES"/>
          </a:p>
        </c:txPr>
        <c:crossAx val="185004416"/>
        <c:crosses val="autoZero"/>
        <c:crossBetween val="midCat"/>
        <c:majorUnit val="10"/>
        <c:minorUnit val="5"/>
      </c:valAx>
      <c:valAx>
        <c:axId val="18500441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 sz="1100"/>
                </a:pPr>
                <a:r>
                  <a:rPr lang="en-US" sz="1100"/>
                  <a:t>Counts</a:t>
                </a:r>
              </a:p>
            </c:rich>
          </c:tx>
          <c:layout>
            <c:manualLayout>
              <c:xMode val="edge"/>
              <c:yMode val="edge"/>
              <c:x val="1.0984169084127689E-2"/>
              <c:y val="2.1684357492039424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84985856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ayout>
        <c:manualLayout>
          <c:xMode val="edge"/>
          <c:yMode val="edge"/>
          <c:x val="0.80787304823066675"/>
          <c:y val="2.3471095930916192E-2"/>
          <c:w val="0.17988655367891107"/>
          <c:h val="0.12379537775280383"/>
        </c:manualLayout>
      </c:layout>
      <c:overlay val="0"/>
    </c:legend>
    <c:plotVisOnly val="1"/>
    <c:dispBlanksAs val="gap"/>
    <c:showDLblsOverMax val="0"/>
  </c:chart>
  <c:spPr>
    <a:ln w="19050">
      <a:solidFill>
        <a:schemeClr val="tx1"/>
      </a:solidFill>
    </a:ln>
  </c:spPr>
  <c:printSettings>
    <c:headerFooter/>
    <c:pageMargins b="0.75000000000000155" l="0.70000000000000062" r="0.70000000000000062" t="0.75000000000000155" header="0.30000000000000032" footer="0.30000000000000032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980</xdr:colOff>
      <xdr:row>0</xdr:row>
      <xdr:rowOff>39968</xdr:rowOff>
    </xdr:from>
    <xdr:to>
      <xdr:col>9</xdr:col>
      <xdr:colOff>466724</xdr:colOff>
      <xdr:row>27</xdr:row>
      <xdr:rowOff>182394</xdr:rowOff>
    </xdr:to>
    <xdr:graphicFrame macro="">
      <xdr:nvGraphicFramePr>
        <xdr:cNvPr id="3" name="2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queryTables/queryTable1.xml><?xml version="1.0" encoding="utf-8"?>
<queryTable xmlns="http://schemas.openxmlformats.org/spreadsheetml/2006/main" name="230125RFnn" growShrinkType="overwriteClear" fillFormulas="1" adjustColumnWidth="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pageSetUpPr autoPageBreaks="0"/>
  </sheetPr>
  <dimension ref="A1:Q50"/>
  <sheetViews>
    <sheetView showGridLines="0" tabSelected="1" topLeftCell="A16" zoomScaleNormal="100" zoomScaleSheetLayoutView="85" workbookViewId="0">
      <selection activeCell="N50" sqref="N50"/>
    </sheetView>
  </sheetViews>
  <sheetFormatPr baseColWidth="10" defaultRowHeight="15" x14ac:dyDescent="0.25"/>
  <cols>
    <col min="1" max="1" width="6.28515625" style="1" customWidth="1"/>
    <col min="2" max="2" width="14.85546875" style="1" bestFit="1" customWidth="1"/>
    <col min="3" max="3" width="8" style="1" customWidth="1"/>
    <col min="4" max="4" width="7.140625" style="1" customWidth="1"/>
    <col min="5" max="5" width="11.42578125" style="1"/>
    <col min="6" max="6" width="5.7109375" style="1" customWidth="1"/>
    <col min="7" max="7" width="5.28515625" style="1" customWidth="1"/>
    <col min="8" max="8" width="8.140625" style="1" customWidth="1"/>
    <col min="9" max="9" width="9.28515625" style="28" customWidth="1"/>
    <col min="10" max="10" width="7.140625" style="21" bestFit="1" customWidth="1"/>
    <col min="11" max="16384" width="11.42578125" style="1"/>
  </cols>
  <sheetData>
    <row r="1" spans="1:17" ht="8.25" customHeight="1" x14ac:dyDescent="0.25">
      <c r="I1" s="20"/>
      <c r="K1" s="21"/>
    </row>
    <row r="2" spans="1:17" x14ac:dyDescent="0.25">
      <c r="B2" s="22"/>
      <c r="C2" s="22"/>
      <c r="D2" s="22"/>
      <c r="E2" s="22"/>
      <c r="F2" s="22"/>
      <c r="G2" s="22"/>
      <c r="H2" s="22"/>
      <c r="I2" s="20"/>
      <c r="Q2" s="23"/>
    </row>
    <row r="3" spans="1:17" x14ac:dyDescent="0.25">
      <c r="B3" s="22"/>
      <c r="C3" s="22"/>
      <c r="D3" s="22"/>
      <c r="E3" s="22"/>
      <c r="F3" s="22"/>
      <c r="G3" s="22"/>
      <c r="H3" s="22"/>
      <c r="I3" s="20"/>
    </row>
    <row r="4" spans="1:17" x14ac:dyDescent="0.25">
      <c r="B4" s="22"/>
      <c r="C4" s="22"/>
      <c r="D4" s="22"/>
      <c r="E4" s="22"/>
      <c r="F4" s="22"/>
      <c r="G4" s="22"/>
      <c r="H4" s="22"/>
      <c r="I4" s="20"/>
    </row>
    <row r="5" spans="1:17" x14ac:dyDescent="0.25">
      <c r="B5" s="22"/>
      <c r="C5" s="22"/>
      <c r="D5" s="22"/>
      <c r="E5" s="22"/>
      <c r="F5" s="22"/>
      <c r="G5" s="22"/>
      <c r="H5" s="22"/>
      <c r="I5" s="24"/>
    </row>
    <row r="6" spans="1:17" x14ac:dyDescent="0.25">
      <c r="B6" s="22"/>
      <c r="C6" s="22"/>
      <c r="D6" s="22"/>
      <c r="E6" s="22"/>
      <c r="F6" s="22"/>
      <c r="G6" s="22"/>
      <c r="H6" s="22"/>
      <c r="I6" s="24"/>
    </row>
    <row r="7" spans="1:17" x14ac:dyDescent="0.25">
      <c r="B7" s="22"/>
      <c r="C7" s="22"/>
      <c r="D7" s="22"/>
      <c r="E7" s="22"/>
      <c r="F7" s="22"/>
      <c r="G7" s="22"/>
      <c r="H7" s="22"/>
      <c r="I7" s="24"/>
      <c r="K7" s="21"/>
    </row>
    <row r="8" spans="1:17" x14ac:dyDescent="0.25">
      <c r="B8" s="22"/>
      <c r="C8" s="22"/>
      <c r="D8" s="6"/>
      <c r="E8" s="22"/>
      <c r="F8" s="22"/>
      <c r="G8" s="22"/>
      <c r="H8" s="22"/>
      <c r="I8" s="20"/>
    </row>
    <row r="9" spans="1:17" x14ac:dyDescent="0.25">
      <c r="A9" s="21"/>
      <c r="B9" s="24"/>
      <c r="C9" s="24"/>
      <c r="D9" s="24"/>
      <c r="E9" s="24"/>
      <c r="F9" s="24"/>
      <c r="G9" s="24"/>
      <c r="H9" s="24"/>
      <c r="I9" s="24"/>
    </row>
    <row r="10" spans="1:17" x14ac:dyDescent="0.25">
      <c r="A10" s="21"/>
      <c r="B10" s="24"/>
      <c r="C10" s="24"/>
      <c r="D10" s="24"/>
      <c r="E10" s="24"/>
      <c r="F10" s="24"/>
      <c r="G10" s="24"/>
      <c r="H10" s="24"/>
      <c r="I10" s="24"/>
    </row>
    <row r="11" spans="1:17" x14ac:dyDescent="0.25">
      <c r="A11" s="21"/>
      <c r="B11" s="24"/>
      <c r="C11" s="24"/>
      <c r="D11" s="24"/>
      <c r="E11" s="24"/>
      <c r="F11" s="24"/>
      <c r="G11" s="24"/>
      <c r="H11" s="24"/>
      <c r="I11" s="24"/>
    </row>
    <row r="12" spans="1:17" ht="15" customHeight="1" x14ac:dyDescent="0.25">
      <c r="A12" s="21"/>
      <c r="B12" s="24"/>
      <c r="C12" s="24"/>
      <c r="D12" s="24"/>
      <c r="E12" s="24"/>
      <c r="F12" s="24"/>
      <c r="G12" s="24"/>
      <c r="H12" s="24"/>
      <c r="I12" s="24"/>
    </row>
    <row r="13" spans="1:17" ht="15" customHeight="1" x14ac:dyDescent="0.25">
      <c r="A13" s="21"/>
      <c r="B13" s="24"/>
      <c r="C13" s="24"/>
      <c r="D13" s="24"/>
      <c r="E13" s="24"/>
      <c r="F13" s="24"/>
      <c r="G13" s="24"/>
      <c r="H13" s="24"/>
      <c r="I13" s="25"/>
      <c r="J13" s="26"/>
      <c r="K13" s="27"/>
    </row>
    <row r="14" spans="1:17" x14ac:dyDescent="0.25">
      <c r="A14" s="21"/>
      <c r="B14" s="24"/>
      <c r="C14" s="24"/>
      <c r="D14" s="24"/>
      <c r="E14" s="24"/>
      <c r="F14" s="24"/>
      <c r="G14" s="24"/>
      <c r="H14" s="24"/>
      <c r="I14" s="25"/>
    </row>
    <row r="15" spans="1:17" x14ac:dyDescent="0.25">
      <c r="A15" s="21"/>
      <c r="B15" s="24"/>
      <c r="C15" s="24"/>
      <c r="D15" s="24"/>
      <c r="E15" s="24"/>
      <c r="F15" s="24"/>
      <c r="G15" s="24"/>
      <c r="H15" s="24"/>
      <c r="I15" s="24"/>
      <c r="K15" s="28"/>
    </row>
    <row r="16" spans="1:17" x14ac:dyDescent="0.25">
      <c r="A16" s="21"/>
      <c r="B16" s="24"/>
      <c r="C16" s="24"/>
      <c r="D16" s="24"/>
      <c r="E16" s="24"/>
      <c r="F16" s="24"/>
      <c r="G16" s="24"/>
      <c r="H16" s="24"/>
      <c r="I16" s="24"/>
    </row>
    <row r="17" spans="1:16" x14ac:dyDescent="0.25">
      <c r="A17" s="21"/>
      <c r="B17" s="24"/>
      <c r="C17" s="24"/>
      <c r="D17" s="24"/>
      <c r="E17" s="24"/>
      <c r="F17" s="24"/>
      <c r="G17" s="24"/>
      <c r="H17" s="24"/>
      <c r="I17" s="24"/>
    </row>
    <row r="18" spans="1:16" x14ac:dyDescent="0.25">
      <c r="A18" s="21"/>
      <c r="B18" s="24"/>
      <c r="C18" s="24"/>
      <c r="D18" s="24"/>
      <c r="E18" s="24"/>
      <c r="F18" s="24"/>
      <c r="G18" s="24"/>
      <c r="H18" s="24"/>
      <c r="I18" s="24"/>
    </row>
    <row r="19" spans="1:16" x14ac:dyDescent="0.25">
      <c r="A19" s="21"/>
      <c r="B19" s="24"/>
      <c r="C19" s="24"/>
      <c r="D19" s="24"/>
      <c r="E19" s="24"/>
      <c r="F19" s="24"/>
      <c r="G19" s="24"/>
      <c r="H19" s="24"/>
      <c r="I19" s="24"/>
    </row>
    <row r="20" spans="1:16" x14ac:dyDescent="0.25">
      <c r="A20" s="21"/>
      <c r="B20" s="24"/>
      <c r="C20" s="24"/>
      <c r="D20" s="24"/>
      <c r="E20" s="24"/>
      <c r="F20" s="24"/>
      <c r="G20" s="24"/>
      <c r="H20" s="24"/>
      <c r="I20" s="24"/>
    </row>
    <row r="21" spans="1:16" x14ac:dyDescent="0.25">
      <c r="A21" s="21"/>
      <c r="B21" s="24"/>
      <c r="C21" s="24"/>
      <c r="D21" s="24"/>
      <c r="E21" s="24"/>
      <c r="F21" s="24"/>
      <c r="G21" s="24"/>
      <c r="H21" s="24"/>
      <c r="I21" s="24"/>
    </row>
    <row r="22" spans="1:16" x14ac:dyDescent="0.25">
      <c r="A22" s="21"/>
      <c r="B22" s="24"/>
      <c r="C22" s="24"/>
      <c r="D22" s="24"/>
      <c r="E22" s="24"/>
      <c r="F22" s="24"/>
      <c r="G22" s="24"/>
      <c r="H22" s="24"/>
      <c r="I22" s="24"/>
    </row>
    <row r="23" spans="1:16" x14ac:dyDescent="0.25">
      <c r="A23" s="21"/>
      <c r="B23" s="24"/>
      <c r="C23" s="24"/>
      <c r="D23" s="24"/>
      <c r="E23" s="24"/>
      <c r="F23" s="24"/>
      <c r="G23" s="24"/>
      <c r="H23" s="24"/>
      <c r="I23" s="24"/>
    </row>
    <row r="24" spans="1:16" x14ac:dyDescent="0.25">
      <c r="A24" s="21"/>
      <c r="B24" s="24"/>
      <c r="C24" s="24"/>
      <c r="D24" s="24"/>
      <c r="E24" s="24"/>
      <c r="F24" s="24"/>
      <c r="G24" s="24"/>
      <c r="H24" s="24"/>
      <c r="I24" s="24"/>
    </row>
    <row r="25" spans="1:16" x14ac:dyDescent="0.25">
      <c r="A25" s="21"/>
      <c r="B25" s="24"/>
      <c r="C25" s="24"/>
      <c r="D25" s="24"/>
      <c r="E25" s="24"/>
      <c r="F25" s="24"/>
      <c r="G25" s="24"/>
      <c r="H25" s="24"/>
      <c r="I25" s="24"/>
      <c r="L25" s="22"/>
    </row>
    <row r="26" spans="1:16" x14ac:dyDescent="0.25">
      <c r="A26" s="21"/>
      <c r="B26" s="24"/>
      <c r="C26" s="24"/>
      <c r="D26" s="24"/>
      <c r="E26" s="24"/>
      <c r="F26" s="24"/>
      <c r="G26" s="24"/>
      <c r="H26" s="24"/>
      <c r="I26" s="24"/>
    </row>
    <row r="27" spans="1:16" ht="15" customHeight="1" x14ac:dyDescent="0.25">
      <c r="A27" s="21"/>
      <c r="B27" s="22"/>
      <c r="C27" s="22"/>
      <c r="D27" s="22"/>
      <c r="E27" s="22"/>
      <c r="F27" s="22"/>
      <c r="G27" s="22"/>
      <c r="H27" s="24"/>
      <c r="I27" s="24"/>
    </row>
    <row r="28" spans="1:16" ht="15" customHeight="1" thickBot="1" x14ac:dyDescent="0.3">
      <c r="B28" s="22"/>
      <c r="C28" s="29"/>
      <c r="D28" s="29"/>
      <c r="E28" s="22"/>
      <c r="F28" s="22"/>
      <c r="G28" s="22"/>
      <c r="H28" s="24"/>
      <c r="I28" s="24"/>
      <c r="P28" s="22"/>
    </row>
    <row r="29" spans="1:16" ht="15" customHeight="1" x14ac:dyDescent="0.25">
      <c r="A29" s="30"/>
      <c r="B29" s="31" t="s">
        <v>17</v>
      </c>
      <c r="C29" s="85"/>
      <c r="D29" s="85"/>
      <c r="E29" s="85"/>
      <c r="F29" s="85"/>
      <c r="G29" s="85"/>
      <c r="H29" s="85"/>
      <c r="I29" s="85"/>
      <c r="J29" s="86"/>
    </row>
    <row r="30" spans="1:16" ht="15" customHeight="1" x14ac:dyDescent="0.25">
      <c r="A30" s="30"/>
      <c r="B30" s="80" t="s">
        <v>18</v>
      </c>
      <c r="C30" s="83" t="str">
        <f>VLOOKUP(RESULTS!B30,CALC!A2:B519,2,FALSE)</f>
        <v>120525RF05</v>
      </c>
      <c r="D30" s="84"/>
      <c r="E30" s="32" t="s">
        <v>22</v>
      </c>
      <c r="F30" s="33" t="str">
        <f>VLOOKUP(RESULTS!E30,CALC!A2:B519,2,FALSE)</f>
        <v>TC</v>
      </c>
      <c r="G30" s="34" t="s">
        <v>21</v>
      </c>
      <c r="H30" s="100" t="str">
        <f>VLOOKUP(G30,CALC!A2:B519,2,FALSE)</f>
        <v>12/05/2025, 09:15:55</v>
      </c>
      <c r="I30" s="100"/>
      <c r="J30" s="101"/>
    </row>
    <row r="31" spans="1:16" ht="15" customHeight="1" x14ac:dyDescent="0.25">
      <c r="A31" s="30"/>
      <c r="B31" s="80" t="s">
        <v>20</v>
      </c>
      <c r="C31" s="35" t="str">
        <f>VLOOKUP(RESULTS!B31,CALC!A2:B519,2,FALSE)</f>
        <v>2 min</v>
      </c>
      <c r="D31" s="34" t="s">
        <v>19</v>
      </c>
      <c r="E31" s="36" t="str">
        <f>VLOOKUP(RESULTS!D31,CALC!A3:B520,2,FALSE)</f>
        <v>120 mm</v>
      </c>
      <c r="F31" s="102" t="s">
        <v>9</v>
      </c>
      <c r="G31" s="84"/>
      <c r="H31" s="56">
        <v>15</v>
      </c>
      <c r="I31" s="37" t="s">
        <v>24</v>
      </c>
      <c r="J31" s="57">
        <v>90</v>
      </c>
    </row>
    <row r="32" spans="1:16" ht="15" customHeight="1" thickBot="1" x14ac:dyDescent="0.3">
      <c r="A32" s="30"/>
      <c r="B32" s="38" t="s">
        <v>23</v>
      </c>
      <c r="C32" s="81" t="str">
        <f>VLOOKUP(B32,CALC!A2:B519,2,FALSE)</f>
        <v>1e388a35ed35ec228ee7a0d260f37ff9fcf37774ff2714c48258664462bbfe7a</v>
      </c>
      <c r="D32" s="81"/>
      <c r="E32" s="81"/>
      <c r="F32" s="81"/>
      <c r="G32" s="81"/>
      <c r="H32" s="81"/>
      <c r="I32" s="81"/>
      <c r="J32" s="82"/>
    </row>
    <row r="33" spans="1:11" ht="15" customHeight="1" x14ac:dyDescent="0.25">
      <c r="A33" s="30"/>
      <c r="B33" s="90" t="s">
        <v>39</v>
      </c>
      <c r="C33" s="91"/>
      <c r="D33" s="91"/>
      <c r="E33" s="91"/>
      <c r="F33" s="91"/>
      <c r="G33" s="91"/>
      <c r="H33" s="91"/>
      <c r="I33" s="91"/>
      <c r="J33" s="92"/>
    </row>
    <row r="34" spans="1:11" ht="15" customHeight="1" x14ac:dyDescent="0.25">
      <c r="B34" s="79" t="s">
        <v>40</v>
      </c>
      <c r="C34" s="39" t="s">
        <v>0</v>
      </c>
      <c r="D34" s="39" t="s">
        <v>1</v>
      </c>
      <c r="E34" s="39" t="s">
        <v>36</v>
      </c>
      <c r="F34" s="93" t="s">
        <v>5</v>
      </c>
      <c r="G34" s="98" t="s">
        <v>53</v>
      </c>
      <c r="H34" s="99" t="s">
        <v>11</v>
      </c>
      <c r="I34" s="95" t="s">
        <v>42</v>
      </c>
      <c r="J34" s="97" t="s">
        <v>41</v>
      </c>
      <c r="K34" s="22"/>
    </row>
    <row r="35" spans="1:11" x14ac:dyDescent="0.25">
      <c r="B35" s="40" t="s">
        <v>2</v>
      </c>
      <c r="C35" s="69">
        <v>100</v>
      </c>
      <c r="D35" s="69">
        <v>120</v>
      </c>
      <c r="E35" s="15">
        <f ca="1">CALC!R2</f>
        <v>3.2195121951219514</v>
      </c>
      <c r="F35" s="94"/>
      <c r="G35" s="98"/>
      <c r="H35" s="99"/>
      <c r="I35" s="96"/>
      <c r="J35" s="97"/>
    </row>
    <row r="36" spans="1:11" x14ac:dyDescent="0.25">
      <c r="B36" s="104" t="s">
        <v>50</v>
      </c>
      <c r="C36" s="69">
        <v>6</v>
      </c>
      <c r="D36" s="69">
        <v>23</v>
      </c>
      <c r="E36" s="15">
        <f ca="1">CALC!R3</f>
        <v>14563.317073170721</v>
      </c>
      <c r="F36" s="41">
        <f ca="1">CALC!S3</f>
        <v>6.6666666666666671E-3</v>
      </c>
      <c r="G36" s="71">
        <f ca="1">CALC!T3</f>
        <v>659.10606060606051</v>
      </c>
      <c r="H36" s="42">
        <f ca="1">CALC!U3</f>
        <v>6</v>
      </c>
      <c r="I36" s="41">
        <f ca="1">IF(E36&lt;&gt;"",100*E36/CALC!$V$6,"")</f>
        <v>98.228066336880019</v>
      </c>
      <c r="J36" s="74">
        <f ca="1">IF(E36&lt;&gt;"",IF(G36&gt;=10,E36/SUMIFS($E$36:$E$40,$G$36:$G$40,"&gt;=10")*100,IF(G36&gt;=3,"NQ","ND")),"")</f>
        <v>100</v>
      </c>
    </row>
    <row r="37" spans="1:11" x14ac:dyDescent="0.25">
      <c r="B37" s="104" t="s">
        <v>51</v>
      </c>
      <c r="C37" s="69">
        <v>80</v>
      </c>
      <c r="D37" s="69">
        <v>100</v>
      </c>
      <c r="E37" s="15">
        <f ca="1">CALC!R4</f>
        <v>58.170731707317081</v>
      </c>
      <c r="F37" s="41">
        <f ca="1">CALC!S4</f>
        <v>0.98666666666666669</v>
      </c>
      <c r="G37" s="71">
        <f ca="1">CALC!T4</f>
        <v>5.5909090909090908</v>
      </c>
      <c r="H37" s="42">
        <f ca="1">CALC!U4</f>
        <v>12.5</v>
      </c>
      <c r="I37" s="41">
        <f ca="1">IF(E37&lt;&gt;"",100*E37/CALC!$V$6,"")</f>
        <v>0.39235556462186827</v>
      </c>
      <c r="J37" s="74" t="str">
        <f t="shared" ref="J37:J40" ca="1" si="0">IF(E37&lt;&gt;"",IF(G37&gt;=10,E37/SUMIFS($E$36:$E$40,$G$36:$G$40,"&gt;=10")*100,IF(G37&gt;=3,"NQ","ND")),"")</f>
        <v>NQ</v>
      </c>
    </row>
    <row r="38" spans="1:11" x14ac:dyDescent="0.25">
      <c r="B38" s="104"/>
      <c r="C38" s="69"/>
      <c r="D38" s="69"/>
      <c r="E38" s="15" t="str">
        <f ca="1">CALC!R5</f>
        <v/>
      </c>
      <c r="F38" s="41" t="str">
        <f ca="1">CALC!S5</f>
        <v/>
      </c>
      <c r="G38" s="71" t="str">
        <f ca="1">CALC!T5</f>
        <v/>
      </c>
      <c r="H38" s="42" t="str">
        <f ca="1">CALC!U5</f>
        <v/>
      </c>
      <c r="I38" s="41" t="str">
        <f ca="1">IF(E38&lt;&gt;"",100*E38/CALC!$V$6,"")</f>
        <v/>
      </c>
      <c r="J38" s="74" t="str">
        <f t="shared" ca="1" si="0"/>
        <v/>
      </c>
    </row>
    <row r="39" spans="1:11" x14ac:dyDescent="0.25">
      <c r="B39" s="104"/>
      <c r="C39" s="69"/>
      <c r="D39" s="69"/>
      <c r="E39" s="15" t="str">
        <f ca="1">CALC!R6</f>
        <v/>
      </c>
      <c r="F39" s="41" t="str">
        <f ca="1">CALC!S6</f>
        <v/>
      </c>
      <c r="G39" s="71" t="str">
        <f ca="1">CALC!T6</f>
        <v/>
      </c>
      <c r="H39" s="42" t="str">
        <f ca="1">CALC!U6</f>
        <v/>
      </c>
      <c r="I39" s="41" t="str">
        <f ca="1">IF(E39&lt;&gt;"",100*E39/CALC!$V$6,"")</f>
        <v/>
      </c>
      <c r="J39" s="74" t="str">
        <f t="shared" ca="1" si="0"/>
        <v/>
      </c>
    </row>
    <row r="40" spans="1:11" ht="15.75" thickBot="1" x14ac:dyDescent="0.3">
      <c r="B40" s="105"/>
      <c r="C40" s="70"/>
      <c r="D40" s="70"/>
      <c r="E40" s="43" t="str">
        <f ca="1">CALC!R7</f>
        <v/>
      </c>
      <c r="F40" s="44" t="str">
        <f ca="1">CALC!S7</f>
        <v/>
      </c>
      <c r="G40" s="72" t="str">
        <f ca="1">CALC!T7</f>
        <v/>
      </c>
      <c r="H40" s="76" t="str">
        <f ca="1">CALC!U7</f>
        <v/>
      </c>
      <c r="I40" s="44" t="str">
        <f ca="1">IF(E40&lt;&gt;"",100*E40/CALC!$V$6,"")</f>
        <v/>
      </c>
      <c r="J40" s="106" t="str">
        <f t="shared" ca="1" si="0"/>
        <v/>
      </c>
    </row>
    <row r="41" spans="1:11" ht="15.75" thickBot="1" x14ac:dyDescent="0.3">
      <c r="B41" s="45"/>
      <c r="C41" s="46"/>
      <c r="D41" s="45"/>
      <c r="E41" s="47">
        <f ca="1">SUM(E36:E40)</f>
        <v>14621.487804878039</v>
      </c>
      <c r="F41" s="48"/>
      <c r="G41" s="73"/>
      <c r="H41" s="75"/>
      <c r="I41" s="49">
        <f ca="1">SUM(I36:I40)</f>
        <v>98.620421901501885</v>
      </c>
      <c r="J41" s="107"/>
    </row>
    <row r="42" spans="1:11" ht="15.75" thickBot="1" x14ac:dyDescent="0.3">
      <c r="B42" s="45"/>
      <c r="C42" s="46"/>
      <c r="D42" s="45"/>
      <c r="I42" s="22"/>
    </row>
    <row r="43" spans="1:11" x14ac:dyDescent="0.25">
      <c r="B43" s="68" t="s">
        <v>43</v>
      </c>
      <c r="C43" s="59"/>
      <c r="D43" s="60"/>
      <c r="E43" s="61"/>
      <c r="F43" s="61"/>
      <c r="G43" s="61"/>
      <c r="H43" s="61"/>
      <c r="I43" s="61"/>
      <c r="J43" s="62"/>
    </row>
    <row r="44" spans="1:11" ht="15.75" thickBot="1" x14ac:dyDescent="0.3">
      <c r="B44" s="67"/>
      <c r="C44" s="63"/>
      <c r="D44" s="64"/>
      <c r="E44" s="65"/>
      <c r="F44" s="65"/>
      <c r="G44" s="65"/>
      <c r="H44" s="65"/>
      <c r="I44" s="65"/>
      <c r="J44" s="66"/>
    </row>
    <row r="45" spans="1:11" ht="15.75" thickBot="1" x14ac:dyDescent="0.3">
      <c r="B45" s="50"/>
    </row>
    <row r="46" spans="1:11" ht="15.75" thickBot="1" x14ac:dyDescent="0.3">
      <c r="B46" s="87" t="s">
        <v>52</v>
      </c>
      <c r="C46" s="88"/>
      <c r="D46" s="89"/>
      <c r="G46" s="22"/>
    </row>
    <row r="47" spans="1:11" x14ac:dyDescent="0.25">
      <c r="B47" s="51"/>
      <c r="C47" s="22"/>
      <c r="D47" s="52"/>
    </row>
    <row r="48" spans="1:11" x14ac:dyDescent="0.25">
      <c r="B48" s="51"/>
      <c r="C48" s="22"/>
      <c r="D48" s="52"/>
    </row>
    <row r="49" spans="2:4" x14ac:dyDescent="0.25">
      <c r="B49" s="51"/>
      <c r="C49" s="22"/>
      <c r="D49" s="52"/>
    </row>
    <row r="50" spans="2:4" x14ac:dyDescent="0.25">
      <c r="B50" s="53"/>
      <c r="C50" s="54"/>
      <c r="D50" s="55"/>
    </row>
  </sheetData>
  <mergeCells count="12">
    <mergeCell ref="C32:J32"/>
    <mergeCell ref="C30:D30"/>
    <mergeCell ref="C29:J29"/>
    <mergeCell ref="B46:D46"/>
    <mergeCell ref="B33:J33"/>
    <mergeCell ref="F34:F35"/>
    <mergeCell ref="I34:I35"/>
    <mergeCell ref="J34:J35"/>
    <mergeCell ref="G34:G35"/>
    <mergeCell ref="H34:H35"/>
    <mergeCell ref="H30:J30"/>
    <mergeCell ref="F31:G31"/>
  </mergeCells>
  <dataValidations disablePrompts="1" count="1">
    <dataValidation type="decimal" allowBlank="1" showInputMessage="1" showErrorMessage="1" sqref="C35:D40">
      <formula1>0</formula1>
      <formula2>120</formula2>
    </dataValidation>
  </dataValidations>
  <pageMargins left="0.23622047244094491" right="3.937007874015748E-2" top="0.74803149606299213" bottom="0.74803149606299213" header="0.31496062992125984" footer="0.31496062992125984"/>
  <pageSetup paperSize="9" fitToHeight="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X301"/>
  <sheetViews>
    <sheetView topLeftCell="A229" zoomScaleNormal="100" workbookViewId="0">
      <selection activeCell="D247" sqref="D247"/>
    </sheetView>
  </sheetViews>
  <sheetFormatPr baseColWidth="10" defaultRowHeight="15" x14ac:dyDescent="0.25"/>
  <cols>
    <col min="1" max="1" width="10.85546875" style="14" customWidth="1"/>
    <col min="2" max="2" width="11.140625" style="7" customWidth="1"/>
    <col min="3" max="3" width="14.7109375" style="58" customWidth="1"/>
    <col min="4" max="4" width="12.5703125" style="58" customWidth="1"/>
    <col min="5" max="5" width="11.85546875" style="15" bestFit="1" customWidth="1"/>
    <col min="6" max="15" width="3.7109375" style="16" customWidth="1"/>
    <col min="16" max="17" width="11.42578125" style="1"/>
    <col min="18" max="18" width="11.42578125" style="2"/>
    <col min="19" max="19" width="11.85546875" style="2" bestFit="1" customWidth="1"/>
    <col min="20" max="21" width="11.42578125" style="2"/>
    <col min="22" max="22" width="21" style="2" bestFit="1" customWidth="1"/>
    <col min="23" max="23" width="21" style="2" customWidth="1"/>
    <col min="24" max="24" width="11.42578125" style="2"/>
    <col min="25" max="16384" width="11.42578125" style="1"/>
  </cols>
  <sheetData>
    <row r="1" spans="1:24" x14ac:dyDescent="0.25">
      <c r="A1" s="14" t="s">
        <v>35</v>
      </c>
      <c r="B1" s="7" t="s">
        <v>44</v>
      </c>
      <c r="C1" s="15" t="s">
        <v>37</v>
      </c>
      <c r="D1" s="58" t="s">
        <v>36</v>
      </c>
      <c r="E1" s="58" t="s">
        <v>6</v>
      </c>
      <c r="F1" s="77" t="s">
        <v>25</v>
      </c>
      <c r="G1" s="78"/>
      <c r="H1" s="77" t="s">
        <v>26</v>
      </c>
      <c r="I1" s="78"/>
      <c r="J1" s="77" t="s">
        <v>27</v>
      </c>
      <c r="K1" s="78"/>
      <c r="L1" s="77" t="s">
        <v>28</v>
      </c>
      <c r="M1" s="78"/>
      <c r="N1" s="77" t="s">
        <v>29</v>
      </c>
      <c r="O1" s="78"/>
      <c r="Q1" s="9"/>
      <c r="R1" s="18" t="s">
        <v>4</v>
      </c>
      <c r="S1" s="10" t="s">
        <v>5</v>
      </c>
      <c r="T1" s="10" t="s">
        <v>8</v>
      </c>
      <c r="U1" s="10" t="s">
        <v>10</v>
      </c>
      <c r="V1" s="13" t="s">
        <v>30</v>
      </c>
    </row>
    <row r="2" spans="1:24" x14ac:dyDescent="0.25">
      <c r="A2" s="14">
        <v>0</v>
      </c>
      <c r="B2" s="7">
        <v>6</v>
      </c>
      <c r="C2" s="58">
        <f>IF(ISNUMBER(A2),A2,NA())</f>
        <v>0</v>
      </c>
      <c r="D2" s="58">
        <f>IF(ISNUMBER(B2),B2,NA())</f>
        <v>6</v>
      </c>
      <c r="E2" s="15">
        <f ca="1">IF(ISNUMBER(C2),IF($R$2&gt;D2,0,D2-$R$2),"")</f>
        <v>2.7804878048780486</v>
      </c>
      <c r="F2" s="16" t="str">
        <f>IF(ISNUMBER(C2),IF(AND(RESULTS!$C$36&lt;=C2,C2&lt;=RESULTS!$D$36),E2,""),"")</f>
        <v/>
      </c>
      <c r="G2" s="16" t="str">
        <f ca="1">IF(AND(F2&lt;&gt;"",F2&gt;=MAX(F:F)/2),C2,"")</f>
        <v/>
      </c>
      <c r="H2" s="16" t="str">
        <f>IF(ISNUMBER(C2),IF(AND(RESULTS!$C$37&lt;=C2,C2&lt;=RESULTS!$D$37),E2,""),"")</f>
        <v/>
      </c>
      <c r="I2" s="16" t="str">
        <f ca="1">IF(AND(H2&lt;&gt;"",H2&gt;=MAX(H:H)/2),C2,"")</f>
        <v/>
      </c>
      <c r="J2" s="16">
        <f ca="1">IF(ISNUMBER(C2),IF(AND(RESULTS!$C$38&lt;=C2,C2&lt;=RESULTS!$D$38),E2,""),"")</f>
        <v>2.7804878048780486</v>
      </c>
      <c r="K2" s="16">
        <f ca="1">IF(AND(J2&lt;&gt;"",J2&gt;=MAX(J:J)/2),C2,"")</f>
        <v>0</v>
      </c>
      <c r="L2" s="16">
        <f ca="1">IF(ISNUMBER(C2),IF(AND(RESULTS!$C$39&lt;=C2,C2&lt;=RESULTS!$D$39),E2,""),"")</f>
        <v>2.7804878048780486</v>
      </c>
      <c r="M2" s="16">
        <f ca="1">IF(AND(L2&lt;&gt;"",L2&gt;=MAX(L:L)/2),C2,"")</f>
        <v>0</v>
      </c>
      <c r="N2" s="16">
        <f ca="1">IF(ISNUMBER(C2),IF(AND(RESULTS!$C$40&lt;=C2,C2&lt;=RESULTS!$D$40),E2,""),"")</f>
        <v>2.7804878048780486</v>
      </c>
      <c r="O2" s="16">
        <f ca="1">IF(AND(N2&lt;&gt;"",N2&gt;=MAX(N:N)/2),C2,"")</f>
        <v>0</v>
      </c>
      <c r="Q2" s="9" t="s">
        <v>2</v>
      </c>
      <c r="R2" s="18">
        <f ca="1">IF(AND(RESULTS!C35&lt;&gt;"",RESULTS!D35&lt;&gt;""),AVERAGE(INDIRECT(ADDRESS(MATCH(RESULTS!C35,$A:$A,1),2)):INDIRECT(ADDRESS(MATCH(RESULTS!D35,$A:$A,1),2))),0)</f>
        <v>3.2195121951219514</v>
      </c>
      <c r="S2" s="11" t="s">
        <v>7</v>
      </c>
      <c r="T2" s="10" t="s">
        <v>7</v>
      </c>
      <c r="U2" s="10" t="s">
        <v>7</v>
      </c>
      <c r="V2" s="13" t="e">
        <f>SUM(D:D)</f>
        <v>#N/A</v>
      </c>
    </row>
    <row r="3" spans="1:24" x14ac:dyDescent="0.25">
      <c r="A3" s="14">
        <v>0.5</v>
      </c>
      <c r="B3" s="7">
        <v>4</v>
      </c>
      <c r="C3" s="58">
        <f t="shared" ref="C3:C66" si="0">IF(ISNUMBER(A3),A3,NA())</f>
        <v>0.5</v>
      </c>
      <c r="D3" s="58">
        <f t="shared" ref="D3:D66" si="1">IF(ISNUMBER(B3),B3,NA())</f>
        <v>4</v>
      </c>
      <c r="E3" s="15">
        <f t="shared" ref="E3:E66" ca="1" si="2">IF(ISNUMBER(C3),IF($R$2&gt;D3,0,D3-$R$2),"")</f>
        <v>0.78048780487804859</v>
      </c>
      <c r="F3" s="16" t="str">
        <f>IF(ISNUMBER(C3),IF(AND(RESULTS!$C$36&lt;=C3,C3&lt;=RESULTS!$D$36),E3,""),"")</f>
        <v/>
      </c>
      <c r="G3" s="16" t="str">
        <f t="shared" ref="G3:G66" ca="1" si="3">IF(AND(F3&lt;&gt;"",F3&gt;=MAX(F:F)/2),C3,"")</f>
        <v/>
      </c>
      <c r="H3" s="16" t="str">
        <f>IF(ISNUMBER(C3),IF(AND(RESULTS!$C$37&lt;=C3,C3&lt;=RESULTS!$D$37),E3,""),"")</f>
        <v/>
      </c>
      <c r="I3" s="16" t="str">
        <f t="shared" ref="I3:I66" ca="1" si="4">IF(AND(H3&lt;&gt;"",H3&gt;=MAX(H:H)/2),C3,"")</f>
        <v/>
      </c>
      <c r="J3" s="16" t="str">
        <f>IF(ISNUMBER(C3),IF(AND(RESULTS!$C$38&lt;=C3,C3&lt;=RESULTS!$D$38),E3,""),"")</f>
        <v/>
      </c>
      <c r="K3" s="16" t="str">
        <f t="shared" ref="K3:K66" ca="1" si="5">IF(AND(J3&lt;&gt;"",J3&gt;=MAX(J:J)/2),C3,"")</f>
        <v/>
      </c>
      <c r="L3" s="16" t="str">
        <f>IF(ISNUMBER(C3),IF(AND(RESULTS!$C$39&lt;=C3,C3&lt;=RESULTS!$D$39),E3,""),"")</f>
        <v/>
      </c>
      <c r="M3" s="16" t="str">
        <f t="shared" ref="M3:M66" ca="1" si="6">IF(AND(L3&lt;&gt;"",L3&gt;=MAX(L:L)/2),C3,"")</f>
        <v/>
      </c>
      <c r="N3" s="16" t="str">
        <f>IF(ISNUMBER(C3),IF(AND(RESULTS!$C$40&lt;=C3,C3&lt;=RESULTS!$D$40),E3,""),"")</f>
        <v/>
      </c>
      <c r="O3" s="16" t="str">
        <f t="shared" ref="O3:O66" ca="1" si="7">IF(AND(N3&lt;&gt;"",N3&gt;=MAX(N:N)/2),C3,"")</f>
        <v/>
      </c>
      <c r="Q3" s="9" t="s">
        <v>25</v>
      </c>
      <c r="R3" s="18">
        <f ca="1">IF(AND(RESULTS!C36&lt;&gt;"",RESULTS!D36&lt;&gt;""),SUM(INDIRECT(ADDRESS(MATCH(RESULTS!C36,C:C,1),5)):INDIRECT(ADDRESS(MATCH(RESULTS!D36,C:C,1),5))),"")</f>
        <v>14563.317073170721</v>
      </c>
      <c r="S3" s="12">
        <f ca="1">IF(AND(RESULTS!C36&lt;&gt;"",RESULTS!D36&lt;&gt;""),(INDIRECT(ADDRESS(MATCH(RESULTS!C36,C:C,1)+MATCH(MAX(INDIRECT(ADDRESS(MATCH(RESULTS!C36,C:C,1),5)):INDIRECT(ADDRESS(MATCH(RESULTS!D36,C:C,1),5))),INDIRECT(ADDRESS(MATCH(RESULTS!C36,C:C,1),5)):INDIRECT(ADDRESS(MATCH(RESULTS!D36,C:C,1),5)),0),3))-$V$12)/($V$14-$V$12),"")</f>
        <v>6.6666666666666671E-3</v>
      </c>
      <c r="T3" s="10">
        <f ca="1">IF(AND(RESULTS!C36&lt;&gt;"",RESULTS!D36&lt;&gt;""),(2*(MAX(INDIRECT(ADDRESS(MATCH(RESULTS!C36,C:C,1),4)):INDIRECT(ADDRESS(MATCH(RESULTS!D36,C:C,1),4))))/$R$2),"")</f>
        <v>659.10606060606051</v>
      </c>
      <c r="U3" s="17">
        <f ca="1">IF(R3&lt;&gt;"",MAX(G:G)-MIN(G:G),"")</f>
        <v>6</v>
      </c>
      <c r="V3" s="13" t="s">
        <v>3</v>
      </c>
    </row>
    <row r="4" spans="1:24" x14ac:dyDescent="0.25">
      <c r="A4" s="14">
        <v>1</v>
      </c>
      <c r="B4" s="7">
        <v>4</v>
      </c>
      <c r="C4" s="58">
        <f t="shared" si="0"/>
        <v>1</v>
      </c>
      <c r="D4" s="58">
        <f t="shared" si="1"/>
        <v>4</v>
      </c>
      <c r="E4" s="15">
        <f t="shared" ca="1" si="2"/>
        <v>0.78048780487804859</v>
      </c>
      <c r="F4" s="16" t="str">
        <f>IF(ISNUMBER(C4),IF(AND(RESULTS!$C$36&lt;=C4,C4&lt;=RESULTS!$D$36),E4,""),"")</f>
        <v/>
      </c>
      <c r="G4" s="16" t="str">
        <f t="shared" ca="1" si="3"/>
        <v/>
      </c>
      <c r="H4" s="16" t="str">
        <f>IF(ISNUMBER(C4),IF(AND(RESULTS!$C$37&lt;=C4,C4&lt;=RESULTS!$D$37),E4,""),"")</f>
        <v/>
      </c>
      <c r="I4" s="16" t="str">
        <f t="shared" ca="1" si="4"/>
        <v/>
      </c>
      <c r="J4" s="16" t="str">
        <f>IF(ISNUMBER(C4),IF(AND(RESULTS!$C$38&lt;=C4,C4&lt;=RESULTS!$D$38),E4,""),"")</f>
        <v/>
      </c>
      <c r="K4" s="16" t="str">
        <f t="shared" ca="1" si="5"/>
        <v/>
      </c>
      <c r="L4" s="16" t="str">
        <f>IF(ISNUMBER(C4),IF(AND(RESULTS!$C$39&lt;=C4,C4&lt;=RESULTS!$D$39),E4,""),"")</f>
        <v/>
      </c>
      <c r="M4" s="16" t="str">
        <f t="shared" ca="1" si="6"/>
        <v/>
      </c>
      <c r="N4" s="16" t="str">
        <f>IF(ISNUMBER(C4),IF(AND(RESULTS!$C$40&lt;=C4,C4&lt;=RESULTS!$D$40),E4,""),"")</f>
        <v/>
      </c>
      <c r="O4" s="16" t="str">
        <f t="shared" ca="1" si="7"/>
        <v/>
      </c>
      <c r="Q4" s="9" t="s">
        <v>26</v>
      </c>
      <c r="R4" s="18">
        <f ca="1">IF(AND(RESULTS!C37&lt;&gt;"",RESULTS!D37&lt;&gt;""),SUM(INDIRECT(ADDRESS(MATCH(RESULTS!C37,C:C,1),5)):INDIRECT(ADDRESS(MATCH(RESULTS!D37,C:C,1),5))),"")</f>
        <v>58.170731707317081</v>
      </c>
      <c r="S4" s="12">
        <f ca="1">IF(AND(RESULTS!C37&lt;&gt;"",RESULTS!D37&lt;&gt;""),(INDIRECT(ADDRESS(MATCH(RESULTS!C37,C:C,1)+MATCH(MAX(INDIRECT(ADDRESS(MATCH(RESULTS!C37,C:C,1),5)):INDIRECT(ADDRESS(MATCH(RESULTS!D37,C:C,1),5))),INDIRECT(ADDRESS(MATCH(RESULTS!C37,C:C,1),5)):INDIRECT(ADDRESS(MATCH(RESULTS!D37,C:C,1),5)),0),3))-$V$12)/($V$14-$V$12),"")</f>
        <v>0.98666666666666669</v>
      </c>
      <c r="T4" s="10">
        <f ca="1">IF(AND(RESULTS!C37&lt;&gt;"",RESULTS!D37&lt;&gt;""),(2*(MAX(INDIRECT(ADDRESS(MATCH(RESULTS!C37,C:C,1),4)):INDIRECT(ADDRESS(MATCH(RESULTS!D37,C:C,1),4))))/$R$2),"")</f>
        <v>5.5909090909090908</v>
      </c>
      <c r="U4" s="17">
        <f ca="1">IF(R4&lt;&gt;"",MAX(I:I)-MIN(I:I),"")</f>
        <v>12.5</v>
      </c>
      <c r="V4" s="13">
        <f>IF(D:D&lt;&gt;"",MAX(B:B),"")</f>
        <v>1061</v>
      </c>
    </row>
    <row r="5" spans="1:24" x14ac:dyDescent="0.25">
      <c r="A5" s="14">
        <v>1.5</v>
      </c>
      <c r="B5" s="7">
        <v>6</v>
      </c>
      <c r="C5" s="58">
        <f t="shared" si="0"/>
        <v>1.5</v>
      </c>
      <c r="D5" s="58">
        <f t="shared" si="1"/>
        <v>6</v>
      </c>
      <c r="E5" s="15">
        <f t="shared" ca="1" si="2"/>
        <v>2.7804878048780486</v>
      </c>
      <c r="F5" s="16" t="str">
        <f>IF(ISNUMBER(C5),IF(AND(RESULTS!$C$36&lt;=C5,C5&lt;=RESULTS!$D$36),E5,""),"")</f>
        <v/>
      </c>
      <c r="G5" s="16" t="str">
        <f t="shared" ca="1" si="3"/>
        <v/>
      </c>
      <c r="H5" s="16" t="str">
        <f>IF(ISNUMBER(C5),IF(AND(RESULTS!$C$37&lt;=C5,C5&lt;=RESULTS!$D$37),E5,""),"")</f>
        <v/>
      </c>
      <c r="I5" s="16" t="str">
        <f t="shared" ca="1" si="4"/>
        <v/>
      </c>
      <c r="J5" s="16" t="str">
        <f>IF(ISNUMBER(C5),IF(AND(RESULTS!$C$38&lt;=C5,C5&lt;=RESULTS!$D$38),E5,""),"")</f>
        <v/>
      </c>
      <c r="K5" s="16" t="str">
        <f t="shared" ca="1" si="5"/>
        <v/>
      </c>
      <c r="L5" s="16" t="str">
        <f>IF(ISNUMBER(C5),IF(AND(RESULTS!$C$39&lt;=C5,C5&lt;=RESULTS!$D$39),E5,""),"")</f>
        <v/>
      </c>
      <c r="M5" s="16" t="str">
        <f t="shared" ca="1" si="6"/>
        <v/>
      </c>
      <c r="N5" s="16" t="str">
        <f>IF(ISNUMBER(C5),IF(AND(RESULTS!$C$40&lt;=C5,C5&lt;=RESULTS!$D$40),E5,""),"")</f>
        <v/>
      </c>
      <c r="O5" s="16" t="str">
        <f t="shared" ca="1" si="7"/>
        <v/>
      </c>
      <c r="Q5" s="9" t="s">
        <v>27</v>
      </c>
      <c r="R5" s="18" t="str">
        <f ca="1">IF(AND(RESULTS!C38&lt;&gt;"",RESULTS!D38&lt;&gt;""),SUM(INDIRECT(ADDRESS(MATCH(RESULTS!C38,C:C,1),5)):INDIRECT(ADDRESS(MATCH(RESULTS!D38,C:C,1),5))),"")</f>
        <v/>
      </c>
      <c r="S5" s="12" t="str">
        <f ca="1">IF(AND(RESULTS!C38&lt;&gt;"",RESULTS!D38&lt;&gt;""),(INDIRECT(ADDRESS(MATCH(RESULTS!C38,C:C,1)+MATCH(MAX(INDIRECT(ADDRESS(MATCH(RESULTS!C38,C:C,1),5)):INDIRECT(ADDRESS(MATCH(RESULTS!D38,C:C,1),5))),INDIRECT(ADDRESS(MATCH(RESULTS!C38,C:C,1),5)):INDIRECT(ADDRESS(MATCH(RESULTS!D38,C:C,1),5)),0),3))-$V$12)/($V$14-$V$12),"")</f>
        <v/>
      </c>
      <c r="T5" s="10" t="str">
        <f ca="1">IF(AND(RESULTS!C38&lt;&gt;"",RESULTS!D38&lt;&gt;""),(2*(MAX(INDIRECT(ADDRESS(MATCH(RESULTS!C38,C:C,1),4)):INDIRECT(ADDRESS(MATCH(RESULTS!D38,C:C,1),4))))/$R$2),"")</f>
        <v/>
      </c>
      <c r="U5" s="17" t="str">
        <f ca="1">IF(R5&lt;&gt;"",MAX(K:K)-MIN(K:K),"")</f>
        <v/>
      </c>
      <c r="V5" s="13" t="s">
        <v>31</v>
      </c>
      <c r="X5" s="3"/>
    </row>
    <row r="6" spans="1:24" x14ac:dyDescent="0.25">
      <c r="A6" s="14">
        <v>2</v>
      </c>
      <c r="B6" s="7">
        <v>11</v>
      </c>
      <c r="C6" s="58">
        <f t="shared" si="0"/>
        <v>2</v>
      </c>
      <c r="D6" s="58">
        <f t="shared" si="1"/>
        <v>11</v>
      </c>
      <c r="E6" s="15">
        <f t="shared" ca="1" si="2"/>
        <v>7.7804878048780486</v>
      </c>
      <c r="F6" s="16" t="str">
        <f>IF(ISNUMBER(C6),IF(AND(RESULTS!$C$36&lt;=C6,C6&lt;=RESULTS!$D$36),E6,""),"")</f>
        <v/>
      </c>
      <c r="G6" s="16" t="str">
        <f t="shared" ca="1" si="3"/>
        <v/>
      </c>
      <c r="H6" s="16" t="str">
        <f>IF(ISNUMBER(C6),IF(AND(RESULTS!$C$37&lt;=C6,C6&lt;=RESULTS!$D$37),E6,""),"")</f>
        <v/>
      </c>
      <c r="I6" s="16" t="str">
        <f t="shared" ca="1" si="4"/>
        <v/>
      </c>
      <c r="J6" s="16" t="str">
        <f>IF(ISNUMBER(C6),IF(AND(RESULTS!$C$38&lt;=C6,C6&lt;=RESULTS!$D$38),E6,""),"")</f>
        <v/>
      </c>
      <c r="K6" s="16" t="str">
        <f t="shared" ca="1" si="5"/>
        <v/>
      </c>
      <c r="L6" s="16" t="str">
        <f>IF(ISNUMBER(C6),IF(AND(RESULTS!$C$39&lt;=C6,C6&lt;=RESULTS!$D$39),E6,""),"")</f>
        <v/>
      </c>
      <c r="M6" s="16" t="str">
        <f t="shared" ca="1" si="6"/>
        <v/>
      </c>
      <c r="N6" s="16" t="str">
        <f>IF(ISNUMBER(C6),IF(AND(RESULTS!$C$40&lt;=C6,C6&lt;=RESULTS!$D$40),E6,""),"")</f>
        <v/>
      </c>
      <c r="O6" s="16" t="str">
        <f t="shared" ca="1" si="7"/>
        <v/>
      </c>
      <c r="Q6" s="9" t="s">
        <v>28</v>
      </c>
      <c r="R6" s="18" t="str">
        <f ca="1">IF(AND(RESULTS!C39&lt;&gt;"",RESULTS!D39&lt;&gt;""),SUM(INDIRECT(ADDRESS(MATCH(RESULTS!C39,C:C,1),5)):INDIRECT(ADDRESS(MATCH(RESULTS!D39,C:C,1),5))),"")</f>
        <v/>
      </c>
      <c r="S6" s="12" t="str">
        <f ca="1">IF(AND(RESULTS!C39&lt;&gt;"",RESULTS!D39&lt;&gt;""),(INDIRECT(ADDRESS(MATCH(RESULTS!C39,C:C,1)+MATCH(MAX(INDIRECT(ADDRESS(MATCH(RESULTS!C39,C:C,1),5)):INDIRECT(ADDRESS(MATCH(RESULTS!D39,C:C,1),5))),INDIRECT(ADDRESS(MATCH(RESULTS!C39,C:C,1),5)):INDIRECT(ADDRESS(MATCH(RESULTS!D39,C:C,1),5)),0),3))-$V$12)/($V$14-$V$12),"")</f>
        <v/>
      </c>
      <c r="T6" s="10" t="str">
        <f ca="1">IF(AND(RESULTS!C39&lt;&gt;"",RESULTS!D39&lt;&gt;""),(2*(MAX(INDIRECT(ADDRESS(MATCH(RESULTS!C39,C:C,1),4)):INDIRECT(ADDRESS(MATCH(RESULTS!D39,C:C,1),4))))/$R$2),"")</f>
        <v/>
      </c>
      <c r="U6" s="17" t="str">
        <f ca="1">IF(R6&lt;&gt;"",MAX(M:M)-MIN(M:M),"")</f>
        <v/>
      </c>
      <c r="V6" s="13">
        <f ca="1">SUM(E:E)</f>
        <v>14826.024390243831</v>
      </c>
      <c r="X6" s="3"/>
    </row>
    <row r="7" spans="1:24" x14ac:dyDescent="0.25">
      <c r="A7" s="14">
        <v>2.5</v>
      </c>
      <c r="B7" s="7">
        <v>6</v>
      </c>
      <c r="C7" s="58">
        <f t="shared" si="0"/>
        <v>2.5</v>
      </c>
      <c r="D7" s="58">
        <f t="shared" si="1"/>
        <v>6</v>
      </c>
      <c r="E7" s="15">
        <f t="shared" ca="1" si="2"/>
        <v>2.7804878048780486</v>
      </c>
      <c r="F7" s="16" t="str">
        <f>IF(ISNUMBER(C7),IF(AND(RESULTS!$C$36&lt;=C7,C7&lt;=RESULTS!$D$36),E7,""),"")</f>
        <v/>
      </c>
      <c r="G7" s="16" t="str">
        <f t="shared" ca="1" si="3"/>
        <v/>
      </c>
      <c r="H7" s="16" t="str">
        <f>IF(ISNUMBER(C7),IF(AND(RESULTS!$C$37&lt;=C7,C7&lt;=RESULTS!$D$37),E7,""),"")</f>
        <v/>
      </c>
      <c r="I7" s="16" t="str">
        <f t="shared" ca="1" si="4"/>
        <v/>
      </c>
      <c r="J7" s="16" t="str">
        <f>IF(ISNUMBER(C7),IF(AND(RESULTS!$C$38&lt;=C7,C7&lt;=RESULTS!$D$38),E7,""),"")</f>
        <v/>
      </c>
      <c r="K7" s="16" t="str">
        <f t="shared" ca="1" si="5"/>
        <v/>
      </c>
      <c r="L7" s="16" t="str">
        <f>IF(ISNUMBER(C7),IF(AND(RESULTS!$C$39&lt;=C7,C7&lt;=RESULTS!$D$39),E7,""),"")</f>
        <v/>
      </c>
      <c r="M7" s="16" t="str">
        <f t="shared" ca="1" si="6"/>
        <v/>
      </c>
      <c r="N7" s="16" t="str">
        <f>IF(ISNUMBER(C7),IF(AND(RESULTS!$C$40&lt;=C7,C7&lt;=RESULTS!$D$40),E7,""),"")</f>
        <v/>
      </c>
      <c r="O7" s="16" t="str">
        <f t="shared" ca="1" si="7"/>
        <v/>
      </c>
      <c r="Q7" s="9" t="s">
        <v>29</v>
      </c>
      <c r="R7" s="18" t="str">
        <f ca="1">IF(AND(RESULTS!C40&lt;&gt;"",RESULTS!D40&lt;&gt;""),SUM(INDIRECT(ADDRESS(MATCH(RESULTS!C40,C:C,1),5)):INDIRECT(ADDRESS(MATCH(RESULTS!D40,C:C,1),5))),"")</f>
        <v/>
      </c>
      <c r="S7" s="12" t="str">
        <f ca="1">IF(AND(RESULTS!C40&lt;&gt;"",RESULTS!D40&lt;&gt;""),(INDIRECT(ADDRESS(MATCH(RESULTS!C40,C:C,1)+MATCH(MAX(INDIRECT(ADDRESS(MATCH(RESULTS!C40,C:C,1),5)):INDIRECT(ADDRESS(MATCH(RESULTS!D40,C:C,1),5))),INDIRECT(ADDRESS(MATCH(RESULTS!C40,C:C,1),5)):INDIRECT(ADDRESS(MATCH(RESULTS!D40,C:C,1),5)),0),3))-$V$12)/($V$14-$V$12),"")</f>
        <v/>
      </c>
      <c r="T7" s="10" t="str">
        <f ca="1">IF(AND(RESULTS!C40&lt;&gt;"",RESULTS!D40&lt;&gt;""),(2*(MAX(INDIRECT(ADDRESS(MATCH(RESULTS!C40,C:C,1),4)):INDIRECT(ADDRESS(MATCH(RESULTS!D40,C:C,1),4))))/$R$2),"")</f>
        <v/>
      </c>
      <c r="U7" s="17" t="str">
        <f ca="1">IF(R7&lt;&gt;"",MAX(O:O)-MIN(O:O),"")</f>
        <v/>
      </c>
      <c r="V7" s="13" t="s">
        <v>32</v>
      </c>
      <c r="X7" s="4"/>
    </row>
    <row r="8" spans="1:24" x14ac:dyDescent="0.25">
      <c r="A8" s="14">
        <v>3</v>
      </c>
      <c r="B8" s="7">
        <v>7</v>
      </c>
      <c r="C8" s="58">
        <f t="shared" si="0"/>
        <v>3</v>
      </c>
      <c r="D8" s="58">
        <f t="shared" si="1"/>
        <v>7</v>
      </c>
      <c r="E8" s="15">
        <f t="shared" ca="1" si="2"/>
        <v>3.7804878048780486</v>
      </c>
      <c r="F8" s="16" t="str">
        <f>IF(ISNUMBER(C8),IF(AND(RESULTS!$C$36&lt;=C8,C8&lt;=RESULTS!$D$36),E8,""),"")</f>
        <v/>
      </c>
      <c r="G8" s="16" t="str">
        <f t="shared" ca="1" si="3"/>
        <v/>
      </c>
      <c r="H8" s="16" t="str">
        <f>IF(ISNUMBER(C8),IF(AND(RESULTS!$C$37&lt;=C8,C8&lt;=RESULTS!$D$37),E8,""),"")</f>
        <v/>
      </c>
      <c r="I8" s="16" t="str">
        <f t="shared" ca="1" si="4"/>
        <v/>
      </c>
      <c r="J8" s="16" t="str">
        <f>IF(ISNUMBER(C8),IF(AND(RESULTS!$C$38&lt;=C8,C8&lt;=RESULTS!$D$38),E8,""),"")</f>
        <v/>
      </c>
      <c r="K8" s="16" t="str">
        <f t="shared" ca="1" si="5"/>
        <v/>
      </c>
      <c r="L8" s="16" t="str">
        <f>IF(ISNUMBER(C8),IF(AND(RESULTS!$C$39&lt;=C8,C8&lt;=RESULTS!$D$39),E8,""),"")</f>
        <v/>
      </c>
      <c r="M8" s="16" t="str">
        <f t="shared" ca="1" si="6"/>
        <v/>
      </c>
      <c r="N8" s="16" t="str">
        <f>IF(ISNUMBER(C8),IF(AND(RESULTS!$C$40&lt;=C8,C8&lt;=RESULTS!$D$40),E8,""),"")</f>
        <v/>
      </c>
      <c r="O8" s="16" t="str">
        <f t="shared" ca="1" si="7"/>
        <v/>
      </c>
      <c r="S8" s="5"/>
      <c r="T8" s="6"/>
      <c r="U8" s="6"/>
      <c r="V8" s="13">
        <f>MAX(A:A)</f>
        <v>120</v>
      </c>
    </row>
    <row r="9" spans="1:24" x14ac:dyDescent="0.25">
      <c r="A9" s="14">
        <v>3.5</v>
      </c>
      <c r="B9" s="7">
        <v>10</v>
      </c>
      <c r="C9" s="58">
        <f t="shared" si="0"/>
        <v>3.5</v>
      </c>
      <c r="D9" s="58">
        <f t="shared" si="1"/>
        <v>10</v>
      </c>
      <c r="E9" s="15">
        <f t="shared" ca="1" si="2"/>
        <v>6.7804878048780486</v>
      </c>
      <c r="F9" s="16" t="str">
        <f>IF(ISNUMBER(C9),IF(AND(RESULTS!$C$36&lt;=C9,C9&lt;=RESULTS!$D$36),E9,""),"")</f>
        <v/>
      </c>
      <c r="G9" s="16" t="str">
        <f t="shared" ca="1" si="3"/>
        <v/>
      </c>
      <c r="H9" s="16" t="str">
        <f>IF(ISNUMBER(C9),IF(AND(RESULTS!$C$37&lt;=C9,C9&lt;=RESULTS!$D$37),E9,""),"")</f>
        <v/>
      </c>
      <c r="I9" s="16" t="str">
        <f t="shared" ca="1" si="4"/>
        <v/>
      </c>
      <c r="J9" s="16" t="str">
        <f>IF(ISNUMBER(C9),IF(AND(RESULTS!$C$38&lt;=C9,C9&lt;=RESULTS!$D$38),E9,""),"")</f>
        <v/>
      </c>
      <c r="K9" s="16" t="str">
        <f t="shared" ca="1" si="5"/>
        <v/>
      </c>
      <c r="L9" s="16" t="str">
        <f>IF(ISNUMBER(C9),IF(AND(RESULTS!$C$39&lt;=C9,C9&lt;=RESULTS!$D$39),E9,""),"")</f>
        <v/>
      </c>
      <c r="M9" s="16" t="str">
        <f t="shared" ca="1" si="6"/>
        <v/>
      </c>
      <c r="N9" s="16" t="str">
        <f>IF(ISNUMBER(C9),IF(AND(RESULTS!$C$40&lt;=C9,C9&lt;=RESULTS!$D$40),E9,""),"")</f>
        <v/>
      </c>
      <c r="O9" s="16" t="str">
        <f t="shared" ca="1" si="7"/>
        <v/>
      </c>
      <c r="V9" s="10" t="s">
        <v>33</v>
      </c>
    </row>
    <row r="10" spans="1:24" x14ac:dyDescent="0.25">
      <c r="A10" s="14">
        <v>4</v>
      </c>
      <c r="B10" s="7">
        <v>7</v>
      </c>
      <c r="C10" s="58">
        <f t="shared" si="0"/>
        <v>4</v>
      </c>
      <c r="D10" s="58">
        <f t="shared" si="1"/>
        <v>7</v>
      </c>
      <c r="E10" s="15">
        <f t="shared" ca="1" si="2"/>
        <v>3.7804878048780486</v>
      </c>
      <c r="F10" s="16" t="str">
        <f>IF(ISNUMBER(C10),IF(AND(RESULTS!$C$36&lt;=C10,C10&lt;=RESULTS!$D$36),E10,""),"")</f>
        <v/>
      </c>
      <c r="G10" s="16" t="str">
        <f t="shared" ca="1" si="3"/>
        <v/>
      </c>
      <c r="H10" s="16" t="str">
        <f>IF(ISNUMBER(C10),IF(AND(RESULTS!$C$37&lt;=C10,C10&lt;=RESULTS!$D$37),E10,""),"")</f>
        <v/>
      </c>
      <c r="I10" s="16" t="str">
        <f t="shared" ca="1" si="4"/>
        <v/>
      </c>
      <c r="J10" s="16" t="str">
        <f>IF(ISNUMBER(C10),IF(AND(RESULTS!$C$38&lt;=C10,C10&lt;=RESULTS!$D$38),E10,""),"")</f>
        <v/>
      </c>
      <c r="K10" s="16" t="str">
        <f t="shared" ca="1" si="5"/>
        <v/>
      </c>
      <c r="L10" s="16" t="str">
        <f>IF(ISNUMBER(C10),IF(AND(RESULTS!$C$39&lt;=C10,C10&lt;=RESULTS!$D$39),E10,""),"")</f>
        <v/>
      </c>
      <c r="M10" s="16" t="str">
        <f t="shared" ca="1" si="6"/>
        <v/>
      </c>
      <c r="N10" s="16" t="str">
        <f>IF(ISNUMBER(C10),IF(AND(RESULTS!$C$40&lt;=C10,C10&lt;=RESULTS!$D$40),E10,""),"")</f>
        <v/>
      </c>
      <c r="O10" s="16" t="str">
        <f t="shared" ca="1" si="7"/>
        <v/>
      </c>
      <c r="V10" s="10">
        <f>MIN(A:A)</f>
        <v>0</v>
      </c>
    </row>
    <row r="11" spans="1:24" x14ac:dyDescent="0.25">
      <c r="A11" s="14">
        <v>4.5</v>
      </c>
      <c r="B11" s="7">
        <v>12</v>
      </c>
      <c r="C11" s="58">
        <f t="shared" si="0"/>
        <v>4.5</v>
      </c>
      <c r="D11" s="58">
        <f t="shared" si="1"/>
        <v>12</v>
      </c>
      <c r="E11" s="15">
        <f t="shared" ca="1" si="2"/>
        <v>8.7804878048780495</v>
      </c>
      <c r="F11" s="16" t="str">
        <f>IF(ISNUMBER(C11),IF(AND(RESULTS!$C$36&lt;=C11,C11&lt;=RESULTS!$D$36),E11,""),"")</f>
        <v/>
      </c>
      <c r="G11" s="16" t="str">
        <f t="shared" ca="1" si="3"/>
        <v/>
      </c>
      <c r="H11" s="16" t="str">
        <f>IF(ISNUMBER(C11),IF(AND(RESULTS!$C$37&lt;=C11,C11&lt;=RESULTS!$D$37),E11,""),"")</f>
        <v/>
      </c>
      <c r="I11" s="16" t="str">
        <f t="shared" ca="1" si="4"/>
        <v/>
      </c>
      <c r="J11" s="16" t="str">
        <f>IF(ISNUMBER(C11),IF(AND(RESULTS!$C$38&lt;=C11,C11&lt;=RESULTS!$D$38),E11,""),"")</f>
        <v/>
      </c>
      <c r="K11" s="16" t="str">
        <f t="shared" ca="1" si="5"/>
        <v/>
      </c>
      <c r="L11" s="16" t="str">
        <f>IF(ISNUMBER(C11),IF(AND(RESULTS!$C$39&lt;=C11,C11&lt;=RESULTS!$D$39),E11,""),"")</f>
        <v/>
      </c>
      <c r="M11" s="16" t="str">
        <f t="shared" ca="1" si="6"/>
        <v/>
      </c>
      <c r="N11" s="16" t="str">
        <f>IF(ISNUMBER(C11),IF(AND(RESULTS!$C$40&lt;=C11,C11&lt;=RESULTS!$D$40),E11,""),"")</f>
        <v/>
      </c>
      <c r="O11" s="16" t="str">
        <f t="shared" ca="1" si="7"/>
        <v/>
      </c>
      <c r="V11" s="10" t="s">
        <v>34</v>
      </c>
    </row>
    <row r="12" spans="1:24" x14ac:dyDescent="0.25">
      <c r="A12" s="14">
        <v>5</v>
      </c>
      <c r="B12" s="7">
        <v>9</v>
      </c>
      <c r="C12" s="58">
        <f t="shared" si="0"/>
        <v>5</v>
      </c>
      <c r="D12" s="58">
        <f t="shared" si="1"/>
        <v>9</v>
      </c>
      <c r="E12" s="15">
        <f t="shared" ca="1" si="2"/>
        <v>5.7804878048780486</v>
      </c>
      <c r="F12" s="16" t="str">
        <f>IF(ISNUMBER(C12),IF(AND(RESULTS!$C$36&lt;=C12,C12&lt;=RESULTS!$D$36),E12,""),"")</f>
        <v/>
      </c>
      <c r="G12" s="16" t="str">
        <f t="shared" ca="1" si="3"/>
        <v/>
      </c>
      <c r="H12" s="16" t="str">
        <f>IF(ISNUMBER(C12),IF(AND(RESULTS!$C$37&lt;=C12,C12&lt;=RESULTS!$D$37),E12,""),"")</f>
        <v/>
      </c>
      <c r="I12" s="16" t="str">
        <f t="shared" ca="1" si="4"/>
        <v/>
      </c>
      <c r="J12" s="16" t="str">
        <f>IF(ISNUMBER(C12),IF(AND(RESULTS!$C$38&lt;=C12,C12&lt;=RESULTS!$D$38),E12,""),"")</f>
        <v/>
      </c>
      <c r="K12" s="16" t="str">
        <f t="shared" ca="1" si="5"/>
        <v/>
      </c>
      <c r="L12" s="16" t="str">
        <f>IF(ISNUMBER(C12),IF(AND(RESULTS!$C$39&lt;=C12,C12&lt;=RESULTS!$D$39),E12,""),"")</f>
        <v/>
      </c>
      <c r="M12" s="16" t="str">
        <f t="shared" ca="1" si="6"/>
        <v/>
      </c>
      <c r="N12" s="16" t="str">
        <f>IF(ISNUMBER(C12),IF(AND(RESULTS!$C$40&lt;=C12,C12&lt;=RESULTS!$D$40),E12,""),"")</f>
        <v/>
      </c>
      <c r="O12" s="16" t="str">
        <f t="shared" ca="1" si="7"/>
        <v/>
      </c>
      <c r="V12" s="10">
        <f>RESULTS!H31</f>
        <v>15</v>
      </c>
    </row>
    <row r="13" spans="1:24" x14ac:dyDescent="0.25">
      <c r="A13" s="14">
        <v>5.5</v>
      </c>
      <c r="B13" s="7">
        <v>16</v>
      </c>
      <c r="C13" s="58">
        <f t="shared" si="0"/>
        <v>5.5</v>
      </c>
      <c r="D13" s="58">
        <f t="shared" si="1"/>
        <v>16</v>
      </c>
      <c r="E13" s="15">
        <f t="shared" ca="1" si="2"/>
        <v>12.780487804878049</v>
      </c>
      <c r="F13" s="16" t="str">
        <f>IF(ISNUMBER(C13),IF(AND(RESULTS!$C$36&lt;=C13,C13&lt;=RESULTS!$D$36),E13,""),"")</f>
        <v/>
      </c>
      <c r="G13" s="16" t="str">
        <f t="shared" ca="1" si="3"/>
        <v/>
      </c>
      <c r="H13" s="16" t="str">
        <f>IF(ISNUMBER(C13),IF(AND(RESULTS!$C$37&lt;=C13,C13&lt;=RESULTS!$D$37),E13,""),"")</f>
        <v/>
      </c>
      <c r="I13" s="16" t="str">
        <f t="shared" ca="1" si="4"/>
        <v/>
      </c>
      <c r="J13" s="16" t="str">
        <f>IF(ISNUMBER(C13),IF(AND(RESULTS!$C$38&lt;=C13,C13&lt;=RESULTS!$D$38),E13,""),"")</f>
        <v/>
      </c>
      <c r="K13" s="16" t="str">
        <f t="shared" ca="1" si="5"/>
        <v/>
      </c>
      <c r="L13" s="16" t="str">
        <f>IF(ISNUMBER(C13),IF(AND(RESULTS!$C$39&lt;=C13,C13&lt;=RESULTS!$D$39),E13,""),"")</f>
        <v/>
      </c>
      <c r="M13" s="16" t="str">
        <f t="shared" ca="1" si="6"/>
        <v/>
      </c>
      <c r="N13" s="16" t="str">
        <f>IF(ISNUMBER(C13),IF(AND(RESULTS!$C$40&lt;=C13,C13&lt;=RESULTS!$D$40),E13,""),"")</f>
        <v/>
      </c>
      <c r="O13" s="16" t="str">
        <f t="shared" ca="1" si="7"/>
        <v/>
      </c>
      <c r="V13" s="10" t="s">
        <v>38</v>
      </c>
    </row>
    <row r="14" spans="1:24" x14ac:dyDescent="0.25">
      <c r="A14" s="14">
        <v>6</v>
      </c>
      <c r="B14" s="7">
        <v>19</v>
      </c>
      <c r="C14" s="58">
        <f t="shared" si="0"/>
        <v>6</v>
      </c>
      <c r="D14" s="58">
        <f t="shared" si="1"/>
        <v>19</v>
      </c>
      <c r="E14" s="15">
        <f t="shared" ca="1" si="2"/>
        <v>15.780487804878049</v>
      </c>
      <c r="F14" s="16">
        <f ca="1">IF(ISNUMBER(C14),IF(AND(RESULTS!$C$36&lt;=C14,C14&lt;=RESULTS!$D$36),E14,""),"")</f>
        <v>15.780487804878049</v>
      </c>
      <c r="G14" s="16" t="str">
        <f t="shared" ca="1" si="3"/>
        <v/>
      </c>
      <c r="H14" s="16" t="str">
        <f>IF(ISNUMBER(C14),IF(AND(RESULTS!$C$37&lt;=C14,C14&lt;=RESULTS!$D$37),E14,""),"")</f>
        <v/>
      </c>
      <c r="I14" s="16" t="str">
        <f t="shared" ca="1" si="4"/>
        <v/>
      </c>
      <c r="J14" s="16" t="str">
        <f>IF(ISNUMBER(C14),IF(AND(RESULTS!$C$38&lt;=C14,C14&lt;=RESULTS!$D$38),E14,""),"")</f>
        <v/>
      </c>
      <c r="K14" s="16" t="str">
        <f t="shared" ca="1" si="5"/>
        <v/>
      </c>
      <c r="L14" s="16" t="str">
        <f>IF(ISNUMBER(C14),IF(AND(RESULTS!$C$39&lt;=C14,C14&lt;=RESULTS!$D$39),E14,""),"")</f>
        <v/>
      </c>
      <c r="M14" s="16" t="str">
        <f t="shared" ca="1" si="6"/>
        <v/>
      </c>
      <c r="N14" s="16" t="str">
        <f>IF(ISNUMBER(C14),IF(AND(RESULTS!$C$40&lt;=C14,C14&lt;=RESULTS!$D$40),E14,""),"")</f>
        <v/>
      </c>
      <c r="O14" s="16" t="str">
        <f t="shared" ca="1" si="7"/>
        <v/>
      </c>
      <c r="V14" s="10">
        <f>RESULTS!J31</f>
        <v>90</v>
      </c>
    </row>
    <row r="15" spans="1:24" x14ac:dyDescent="0.25">
      <c r="A15" s="14">
        <v>6.5</v>
      </c>
      <c r="B15" s="7">
        <v>12</v>
      </c>
      <c r="C15" s="58">
        <f t="shared" si="0"/>
        <v>6.5</v>
      </c>
      <c r="D15" s="58">
        <f t="shared" si="1"/>
        <v>12</v>
      </c>
      <c r="E15" s="15">
        <f t="shared" ca="1" si="2"/>
        <v>8.7804878048780495</v>
      </c>
      <c r="F15" s="16">
        <f ca="1">IF(ISNUMBER(C15),IF(AND(RESULTS!$C$36&lt;=C15,C15&lt;=RESULTS!$D$36),E15,""),"")</f>
        <v>8.7804878048780495</v>
      </c>
      <c r="G15" s="16" t="str">
        <f t="shared" ca="1" si="3"/>
        <v/>
      </c>
      <c r="H15" s="16" t="str">
        <f>IF(ISNUMBER(C15),IF(AND(RESULTS!$C$37&lt;=C15,C15&lt;=RESULTS!$D$37),E15,""),"")</f>
        <v/>
      </c>
      <c r="I15" s="16" t="str">
        <f t="shared" ca="1" si="4"/>
        <v/>
      </c>
      <c r="J15" s="16" t="str">
        <f>IF(ISNUMBER(C15),IF(AND(RESULTS!$C$38&lt;=C15,C15&lt;=RESULTS!$D$38),E15,""),"")</f>
        <v/>
      </c>
      <c r="K15" s="16" t="str">
        <f t="shared" ca="1" si="5"/>
        <v/>
      </c>
      <c r="L15" s="16" t="str">
        <f>IF(ISNUMBER(C15),IF(AND(RESULTS!$C$39&lt;=C15,C15&lt;=RESULTS!$D$39),E15,""),"")</f>
        <v/>
      </c>
      <c r="M15" s="16" t="str">
        <f t="shared" ca="1" si="6"/>
        <v/>
      </c>
      <c r="N15" s="16" t="str">
        <f>IF(ISNUMBER(C15),IF(AND(RESULTS!$C$40&lt;=C15,C15&lt;=RESULTS!$D$40),E15,""),"")</f>
        <v/>
      </c>
      <c r="O15" s="16" t="str">
        <f t="shared" ca="1" si="7"/>
        <v/>
      </c>
      <c r="R15" s="8"/>
    </row>
    <row r="16" spans="1:24" x14ac:dyDescent="0.25">
      <c r="A16" s="14">
        <v>7</v>
      </c>
      <c r="B16" s="7">
        <v>23</v>
      </c>
      <c r="C16" s="58">
        <f t="shared" si="0"/>
        <v>7</v>
      </c>
      <c r="D16" s="58">
        <f t="shared" si="1"/>
        <v>23</v>
      </c>
      <c r="E16" s="15">
        <f t="shared" ca="1" si="2"/>
        <v>19.780487804878049</v>
      </c>
      <c r="F16" s="16">
        <f ca="1">IF(ISNUMBER(C16),IF(AND(RESULTS!$C$36&lt;=C16,C16&lt;=RESULTS!$D$36),E16,""),"")</f>
        <v>19.780487804878049</v>
      </c>
      <c r="G16" s="16" t="str">
        <f t="shared" ca="1" si="3"/>
        <v/>
      </c>
      <c r="H16" s="16" t="str">
        <f>IF(ISNUMBER(C16),IF(AND(RESULTS!$C$37&lt;=C16,C16&lt;=RESULTS!$D$37),E16,""),"")</f>
        <v/>
      </c>
      <c r="I16" s="16" t="str">
        <f t="shared" ca="1" si="4"/>
        <v/>
      </c>
      <c r="J16" s="16" t="str">
        <f>IF(ISNUMBER(C16),IF(AND(RESULTS!$C$38&lt;=C16,C16&lt;=RESULTS!$D$38),E16,""),"")</f>
        <v/>
      </c>
      <c r="K16" s="16" t="str">
        <f t="shared" ca="1" si="5"/>
        <v/>
      </c>
      <c r="L16" s="16" t="str">
        <f>IF(ISNUMBER(C16),IF(AND(RESULTS!$C$39&lt;=C16,C16&lt;=RESULTS!$D$39),E16,""),"")</f>
        <v/>
      </c>
      <c r="M16" s="16" t="str">
        <f t="shared" ca="1" si="6"/>
        <v/>
      </c>
      <c r="N16" s="16" t="str">
        <f>IF(ISNUMBER(C16),IF(AND(RESULTS!$C$40&lt;=C16,C16&lt;=RESULTS!$D$40),E16,""),"")</f>
        <v/>
      </c>
      <c r="O16" s="16" t="str">
        <f t="shared" ca="1" si="7"/>
        <v/>
      </c>
    </row>
    <row r="17" spans="1:15" x14ac:dyDescent="0.25">
      <c r="A17" s="14">
        <v>7.5</v>
      </c>
      <c r="B17" s="7">
        <v>22</v>
      </c>
      <c r="C17" s="58">
        <f t="shared" si="0"/>
        <v>7.5</v>
      </c>
      <c r="D17" s="58">
        <f t="shared" si="1"/>
        <v>22</v>
      </c>
      <c r="E17" s="15">
        <f t="shared" ca="1" si="2"/>
        <v>18.780487804878049</v>
      </c>
      <c r="F17" s="16">
        <f ca="1">IF(ISNUMBER(C17),IF(AND(RESULTS!$C$36&lt;=C17,C17&lt;=RESULTS!$D$36),E17,""),"")</f>
        <v>18.780487804878049</v>
      </c>
      <c r="G17" s="16" t="str">
        <f t="shared" ca="1" si="3"/>
        <v/>
      </c>
      <c r="H17" s="16" t="str">
        <f>IF(ISNUMBER(C17),IF(AND(RESULTS!$C$37&lt;=C17,C17&lt;=RESULTS!$D$37),E17,""),"")</f>
        <v/>
      </c>
      <c r="I17" s="16" t="str">
        <f t="shared" ca="1" si="4"/>
        <v/>
      </c>
      <c r="J17" s="16" t="str">
        <f>IF(ISNUMBER(C17),IF(AND(RESULTS!$C$38&lt;=C17,C17&lt;=RESULTS!$D$38),E17,""),"")</f>
        <v/>
      </c>
      <c r="K17" s="16" t="str">
        <f t="shared" ca="1" si="5"/>
        <v/>
      </c>
      <c r="L17" s="16" t="str">
        <f>IF(ISNUMBER(C17),IF(AND(RESULTS!$C$39&lt;=C17,C17&lt;=RESULTS!$D$39),E17,""),"")</f>
        <v/>
      </c>
      <c r="M17" s="16" t="str">
        <f t="shared" ca="1" si="6"/>
        <v/>
      </c>
      <c r="N17" s="16" t="str">
        <f>IF(ISNUMBER(C17),IF(AND(RESULTS!$C$40&lt;=C17,C17&lt;=RESULTS!$D$40),E17,""),"")</f>
        <v/>
      </c>
      <c r="O17" s="16" t="str">
        <f t="shared" ca="1" si="7"/>
        <v/>
      </c>
    </row>
    <row r="18" spans="1:15" x14ac:dyDescent="0.25">
      <c r="A18" s="14">
        <v>8</v>
      </c>
      <c r="B18" s="7">
        <v>36</v>
      </c>
      <c r="C18" s="58">
        <f t="shared" si="0"/>
        <v>8</v>
      </c>
      <c r="D18" s="58">
        <f t="shared" si="1"/>
        <v>36</v>
      </c>
      <c r="E18" s="15">
        <f t="shared" ca="1" si="2"/>
        <v>32.780487804878049</v>
      </c>
      <c r="F18" s="16">
        <f ca="1">IF(ISNUMBER(C18),IF(AND(RESULTS!$C$36&lt;=C18,C18&lt;=RESULTS!$D$36),E18,""),"")</f>
        <v>32.780487804878049</v>
      </c>
      <c r="G18" s="16" t="str">
        <f t="shared" ca="1" si="3"/>
        <v/>
      </c>
      <c r="H18" s="16" t="str">
        <f>IF(ISNUMBER(C18),IF(AND(RESULTS!$C$37&lt;=C18,C18&lt;=RESULTS!$D$37),E18,""),"")</f>
        <v/>
      </c>
      <c r="I18" s="16" t="str">
        <f t="shared" ca="1" si="4"/>
        <v/>
      </c>
      <c r="J18" s="16" t="str">
        <f>IF(ISNUMBER(C18),IF(AND(RESULTS!$C$38&lt;=C18,C18&lt;=RESULTS!$D$38),E18,""),"")</f>
        <v/>
      </c>
      <c r="K18" s="16" t="str">
        <f t="shared" ca="1" si="5"/>
        <v/>
      </c>
      <c r="L18" s="16" t="str">
        <f>IF(ISNUMBER(C18),IF(AND(RESULTS!$C$39&lt;=C18,C18&lt;=RESULTS!$D$39),E18,""),"")</f>
        <v/>
      </c>
      <c r="M18" s="16" t="str">
        <f t="shared" ca="1" si="6"/>
        <v/>
      </c>
      <c r="N18" s="16" t="str">
        <f>IF(ISNUMBER(C18),IF(AND(RESULTS!$C$40&lt;=C18,C18&lt;=RESULTS!$D$40),E18,""),"")</f>
        <v/>
      </c>
      <c r="O18" s="16" t="str">
        <f t="shared" ca="1" si="7"/>
        <v/>
      </c>
    </row>
    <row r="19" spans="1:15" x14ac:dyDescent="0.25">
      <c r="A19" s="14">
        <v>8.5</v>
      </c>
      <c r="B19" s="7">
        <v>63</v>
      </c>
      <c r="C19" s="58">
        <f t="shared" si="0"/>
        <v>8.5</v>
      </c>
      <c r="D19" s="58">
        <f t="shared" si="1"/>
        <v>63</v>
      </c>
      <c r="E19" s="15">
        <f t="shared" ca="1" si="2"/>
        <v>59.780487804878049</v>
      </c>
      <c r="F19" s="16">
        <f ca="1">IF(ISNUMBER(C19),IF(AND(RESULTS!$C$36&lt;=C19,C19&lt;=RESULTS!$D$36),E19,""),"")</f>
        <v>59.780487804878049</v>
      </c>
      <c r="G19" s="16" t="str">
        <f t="shared" ca="1" si="3"/>
        <v/>
      </c>
      <c r="H19" s="16" t="str">
        <f>IF(ISNUMBER(C19),IF(AND(RESULTS!$C$37&lt;=C19,C19&lt;=RESULTS!$D$37),E19,""),"")</f>
        <v/>
      </c>
      <c r="I19" s="16" t="str">
        <f t="shared" ca="1" si="4"/>
        <v/>
      </c>
      <c r="J19" s="16" t="str">
        <f>IF(ISNUMBER(C19),IF(AND(RESULTS!$C$38&lt;=C19,C19&lt;=RESULTS!$D$38),E19,""),"")</f>
        <v/>
      </c>
      <c r="K19" s="16" t="str">
        <f t="shared" ca="1" si="5"/>
        <v/>
      </c>
      <c r="L19" s="16" t="str">
        <f>IF(ISNUMBER(C19),IF(AND(RESULTS!$C$39&lt;=C19,C19&lt;=RESULTS!$D$39),E19,""),"")</f>
        <v/>
      </c>
      <c r="M19" s="16" t="str">
        <f t="shared" ca="1" si="6"/>
        <v/>
      </c>
      <c r="N19" s="16" t="str">
        <f>IF(ISNUMBER(C19),IF(AND(RESULTS!$C$40&lt;=C19,C19&lt;=RESULTS!$D$40),E19,""),"")</f>
        <v/>
      </c>
      <c r="O19" s="16" t="str">
        <f t="shared" ca="1" si="7"/>
        <v/>
      </c>
    </row>
    <row r="20" spans="1:15" x14ac:dyDescent="0.25">
      <c r="A20" s="14">
        <v>9</v>
      </c>
      <c r="B20" s="7">
        <v>110</v>
      </c>
      <c r="C20" s="58">
        <f t="shared" si="0"/>
        <v>9</v>
      </c>
      <c r="D20" s="58">
        <f t="shared" si="1"/>
        <v>110</v>
      </c>
      <c r="E20" s="15">
        <f t="shared" ca="1" si="2"/>
        <v>106.78048780487805</v>
      </c>
      <c r="F20" s="16">
        <f ca="1">IF(ISNUMBER(C20),IF(AND(RESULTS!$C$36&lt;=C20,C20&lt;=RESULTS!$D$36),E20,""),"")</f>
        <v>106.78048780487805</v>
      </c>
      <c r="G20" s="16" t="str">
        <f t="shared" ca="1" si="3"/>
        <v/>
      </c>
      <c r="H20" s="16" t="str">
        <f>IF(ISNUMBER(C20),IF(AND(RESULTS!$C$37&lt;=C20,C20&lt;=RESULTS!$D$37),E20,""),"")</f>
        <v/>
      </c>
      <c r="I20" s="16" t="str">
        <f t="shared" ca="1" si="4"/>
        <v/>
      </c>
      <c r="J20" s="16" t="str">
        <f>IF(ISNUMBER(C20),IF(AND(RESULTS!$C$38&lt;=C20,C20&lt;=RESULTS!$D$38),E20,""),"")</f>
        <v/>
      </c>
      <c r="K20" s="16" t="str">
        <f t="shared" ca="1" si="5"/>
        <v/>
      </c>
      <c r="L20" s="16" t="str">
        <f>IF(ISNUMBER(C20),IF(AND(RESULTS!$C$39&lt;=C20,C20&lt;=RESULTS!$D$39),E20,""),"")</f>
        <v/>
      </c>
      <c r="M20" s="16" t="str">
        <f t="shared" ca="1" si="6"/>
        <v/>
      </c>
      <c r="N20" s="16" t="str">
        <f>IF(ISNUMBER(C20),IF(AND(RESULTS!$C$40&lt;=C20,C20&lt;=RESULTS!$D$40),E20,""),"")</f>
        <v/>
      </c>
      <c r="O20" s="16" t="str">
        <f t="shared" ca="1" si="7"/>
        <v/>
      </c>
    </row>
    <row r="21" spans="1:15" x14ac:dyDescent="0.25">
      <c r="A21" s="14">
        <v>9.5</v>
      </c>
      <c r="B21" s="7">
        <v>202</v>
      </c>
      <c r="C21" s="58">
        <f t="shared" si="0"/>
        <v>9.5</v>
      </c>
      <c r="D21" s="58">
        <f t="shared" si="1"/>
        <v>202</v>
      </c>
      <c r="E21" s="15">
        <f t="shared" ca="1" si="2"/>
        <v>198.78048780487805</v>
      </c>
      <c r="F21" s="16">
        <f ca="1">IF(ISNUMBER(C21),IF(AND(RESULTS!$C$36&lt;=C21,C21&lt;=RESULTS!$D$36),E21,""),"")</f>
        <v>198.78048780487805</v>
      </c>
      <c r="G21" s="16" t="str">
        <f t="shared" ca="1" si="3"/>
        <v/>
      </c>
      <c r="H21" s="16" t="str">
        <f>IF(ISNUMBER(C21),IF(AND(RESULTS!$C$37&lt;=C21,C21&lt;=RESULTS!$D$37),E21,""),"")</f>
        <v/>
      </c>
      <c r="I21" s="16" t="str">
        <f t="shared" ca="1" si="4"/>
        <v/>
      </c>
      <c r="J21" s="16" t="str">
        <f>IF(ISNUMBER(C21),IF(AND(RESULTS!$C$38&lt;=C21,C21&lt;=RESULTS!$D$38),E21,""),"")</f>
        <v/>
      </c>
      <c r="K21" s="16" t="str">
        <f t="shared" ca="1" si="5"/>
        <v/>
      </c>
      <c r="L21" s="16" t="str">
        <f>IF(ISNUMBER(C21),IF(AND(RESULTS!$C$39&lt;=C21,C21&lt;=RESULTS!$D$39),E21,""),"")</f>
        <v/>
      </c>
      <c r="M21" s="16" t="str">
        <f t="shared" ca="1" si="6"/>
        <v/>
      </c>
      <c r="N21" s="16" t="str">
        <f>IF(ISNUMBER(C21),IF(AND(RESULTS!$C$40&lt;=C21,C21&lt;=RESULTS!$D$40),E21,""),"")</f>
        <v/>
      </c>
      <c r="O21" s="16" t="str">
        <f t="shared" ca="1" si="7"/>
        <v/>
      </c>
    </row>
    <row r="22" spans="1:15" x14ac:dyDescent="0.25">
      <c r="A22" s="14">
        <v>10</v>
      </c>
      <c r="B22" s="7">
        <v>289</v>
      </c>
      <c r="C22" s="58">
        <f t="shared" si="0"/>
        <v>10</v>
      </c>
      <c r="D22" s="58">
        <f t="shared" si="1"/>
        <v>289</v>
      </c>
      <c r="E22" s="15">
        <f t="shared" ca="1" si="2"/>
        <v>285.78048780487802</v>
      </c>
      <c r="F22" s="16">
        <f ca="1">IF(ISNUMBER(C22),IF(AND(RESULTS!$C$36&lt;=C22,C22&lt;=RESULTS!$D$36),E22,""),"")</f>
        <v>285.78048780487802</v>
      </c>
      <c r="G22" s="16" t="str">
        <f t="shared" ca="1" si="3"/>
        <v/>
      </c>
      <c r="H22" s="16" t="str">
        <f>IF(ISNUMBER(C22),IF(AND(RESULTS!$C$37&lt;=C22,C22&lt;=RESULTS!$D$37),E22,""),"")</f>
        <v/>
      </c>
      <c r="I22" s="16" t="str">
        <f t="shared" ca="1" si="4"/>
        <v/>
      </c>
      <c r="J22" s="16" t="str">
        <f>IF(ISNUMBER(C22),IF(AND(RESULTS!$C$38&lt;=C22,C22&lt;=RESULTS!$D$38),E22,""),"")</f>
        <v/>
      </c>
      <c r="K22" s="16" t="str">
        <f t="shared" ca="1" si="5"/>
        <v/>
      </c>
      <c r="L22" s="16" t="str">
        <f>IF(ISNUMBER(C22),IF(AND(RESULTS!$C$39&lt;=C22,C22&lt;=RESULTS!$D$39),E22,""),"")</f>
        <v/>
      </c>
      <c r="M22" s="16" t="str">
        <f t="shared" ca="1" si="6"/>
        <v/>
      </c>
      <c r="N22" s="16" t="str">
        <f>IF(ISNUMBER(C22),IF(AND(RESULTS!$C$40&lt;=C22,C22&lt;=RESULTS!$D$40),E22,""),"")</f>
        <v/>
      </c>
      <c r="O22" s="16" t="str">
        <f t="shared" ca="1" si="7"/>
        <v/>
      </c>
    </row>
    <row r="23" spans="1:15" x14ac:dyDescent="0.25">
      <c r="A23" s="14">
        <v>10.5</v>
      </c>
      <c r="B23" s="7">
        <v>387</v>
      </c>
      <c r="C23" s="58">
        <f t="shared" si="0"/>
        <v>10.5</v>
      </c>
      <c r="D23" s="58">
        <f t="shared" si="1"/>
        <v>387</v>
      </c>
      <c r="E23" s="15">
        <f t="shared" ca="1" si="2"/>
        <v>383.78048780487802</v>
      </c>
      <c r="F23" s="16">
        <f ca="1">IF(ISNUMBER(C23),IF(AND(RESULTS!$C$36&lt;=C23,C23&lt;=RESULTS!$D$36),E23,""),"")</f>
        <v>383.78048780487802</v>
      </c>
      <c r="G23" s="16" t="str">
        <f t="shared" ca="1" si="3"/>
        <v/>
      </c>
      <c r="H23" s="16" t="str">
        <f>IF(ISNUMBER(C23),IF(AND(RESULTS!$C$37&lt;=C23,C23&lt;=RESULTS!$D$37),E23,""),"")</f>
        <v/>
      </c>
      <c r="I23" s="16" t="str">
        <f t="shared" ca="1" si="4"/>
        <v/>
      </c>
      <c r="J23" s="16" t="str">
        <f>IF(ISNUMBER(C23),IF(AND(RESULTS!$C$38&lt;=C23,C23&lt;=RESULTS!$D$38),E23,""),"")</f>
        <v/>
      </c>
      <c r="K23" s="16" t="str">
        <f t="shared" ca="1" si="5"/>
        <v/>
      </c>
      <c r="L23" s="16" t="str">
        <f>IF(ISNUMBER(C23),IF(AND(RESULTS!$C$39&lt;=C23,C23&lt;=RESULTS!$D$39),E23,""),"")</f>
        <v/>
      </c>
      <c r="M23" s="16" t="str">
        <f t="shared" ca="1" si="6"/>
        <v/>
      </c>
      <c r="N23" s="16" t="str">
        <f>IF(ISNUMBER(C23),IF(AND(RESULTS!$C$40&lt;=C23,C23&lt;=RESULTS!$D$40),E23,""),"")</f>
        <v/>
      </c>
      <c r="O23" s="16" t="str">
        <f t="shared" ca="1" si="7"/>
        <v/>
      </c>
    </row>
    <row r="24" spans="1:15" x14ac:dyDescent="0.25">
      <c r="A24" s="14">
        <v>11</v>
      </c>
      <c r="B24" s="7">
        <v>509</v>
      </c>
      <c r="C24" s="58">
        <f t="shared" si="0"/>
        <v>11</v>
      </c>
      <c r="D24" s="58">
        <f t="shared" si="1"/>
        <v>509</v>
      </c>
      <c r="E24" s="15">
        <f t="shared" ca="1" si="2"/>
        <v>505.78048780487802</v>
      </c>
      <c r="F24" s="16">
        <f ca="1">IF(ISNUMBER(C24),IF(AND(RESULTS!$C$36&lt;=C24,C24&lt;=RESULTS!$D$36),E24,""),"")</f>
        <v>505.78048780487802</v>
      </c>
      <c r="G24" s="16" t="str">
        <f t="shared" ca="1" si="3"/>
        <v/>
      </c>
      <c r="H24" s="16" t="str">
        <f>IF(ISNUMBER(C24),IF(AND(RESULTS!$C$37&lt;=C24,C24&lt;=RESULTS!$D$37),E24,""),"")</f>
        <v/>
      </c>
      <c r="I24" s="16" t="str">
        <f t="shared" ca="1" si="4"/>
        <v/>
      </c>
      <c r="J24" s="16" t="str">
        <f>IF(ISNUMBER(C24),IF(AND(RESULTS!$C$38&lt;=C24,C24&lt;=RESULTS!$D$38),E24,""),"")</f>
        <v/>
      </c>
      <c r="K24" s="16" t="str">
        <f t="shared" ca="1" si="5"/>
        <v/>
      </c>
      <c r="L24" s="16" t="str">
        <f>IF(ISNUMBER(C24),IF(AND(RESULTS!$C$39&lt;=C24,C24&lt;=RESULTS!$D$39),E24,""),"")</f>
        <v/>
      </c>
      <c r="M24" s="16" t="str">
        <f t="shared" ca="1" si="6"/>
        <v/>
      </c>
      <c r="N24" s="16" t="str">
        <f>IF(ISNUMBER(C24),IF(AND(RESULTS!$C$40&lt;=C24,C24&lt;=RESULTS!$D$40),E24,""),"")</f>
        <v/>
      </c>
      <c r="O24" s="16" t="str">
        <f t="shared" ca="1" si="7"/>
        <v/>
      </c>
    </row>
    <row r="25" spans="1:15" x14ac:dyDescent="0.25">
      <c r="A25" s="14">
        <v>11.5</v>
      </c>
      <c r="B25" s="7">
        <v>621</v>
      </c>
      <c r="C25" s="58">
        <f t="shared" si="0"/>
        <v>11.5</v>
      </c>
      <c r="D25" s="58">
        <f t="shared" si="1"/>
        <v>621</v>
      </c>
      <c r="E25" s="15">
        <f t="shared" ca="1" si="2"/>
        <v>617.78048780487802</v>
      </c>
      <c r="F25" s="16">
        <f ca="1">IF(ISNUMBER(C25),IF(AND(RESULTS!$C$36&lt;=C25,C25&lt;=RESULTS!$D$36),E25,""),"")</f>
        <v>617.78048780487802</v>
      </c>
      <c r="G25" s="16">
        <f t="shared" ca="1" si="3"/>
        <v>11.5</v>
      </c>
      <c r="H25" s="16" t="str">
        <f>IF(ISNUMBER(C25),IF(AND(RESULTS!$C$37&lt;=C25,C25&lt;=RESULTS!$D$37),E25,""),"")</f>
        <v/>
      </c>
      <c r="I25" s="16" t="str">
        <f t="shared" ca="1" si="4"/>
        <v/>
      </c>
      <c r="J25" s="16" t="str">
        <f>IF(ISNUMBER(C25),IF(AND(RESULTS!$C$38&lt;=C25,C25&lt;=RESULTS!$D$38),E25,""),"")</f>
        <v/>
      </c>
      <c r="K25" s="16" t="str">
        <f t="shared" ca="1" si="5"/>
        <v/>
      </c>
      <c r="L25" s="16" t="str">
        <f>IF(ISNUMBER(C25),IF(AND(RESULTS!$C$39&lt;=C25,C25&lt;=RESULTS!$D$39),E25,""),"")</f>
        <v/>
      </c>
      <c r="M25" s="16" t="str">
        <f t="shared" ca="1" si="6"/>
        <v/>
      </c>
      <c r="N25" s="16" t="str">
        <f>IF(ISNUMBER(C25),IF(AND(RESULTS!$C$40&lt;=C25,C25&lt;=RESULTS!$D$40),E25,""),"")</f>
        <v/>
      </c>
      <c r="O25" s="16" t="str">
        <f t="shared" ca="1" si="7"/>
        <v/>
      </c>
    </row>
    <row r="26" spans="1:15" x14ac:dyDescent="0.25">
      <c r="A26" s="14">
        <v>12</v>
      </c>
      <c r="B26" s="7">
        <v>745</v>
      </c>
      <c r="C26" s="58">
        <f t="shared" si="0"/>
        <v>12</v>
      </c>
      <c r="D26" s="58">
        <f t="shared" si="1"/>
        <v>745</v>
      </c>
      <c r="E26" s="15">
        <f t="shared" ca="1" si="2"/>
        <v>741.78048780487802</v>
      </c>
      <c r="F26" s="16">
        <f ca="1">IF(ISNUMBER(C26),IF(AND(RESULTS!$C$36&lt;=C26,C26&lt;=RESULTS!$D$36),E26,""),"")</f>
        <v>741.78048780487802</v>
      </c>
      <c r="G26" s="16">
        <f t="shared" ca="1" si="3"/>
        <v>12</v>
      </c>
      <c r="H26" s="16" t="str">
        <f>IF(ISNUMBER(C26),IF(AND(RESULTS!$C$37&lt;=C26,C26&lt;=RESULTS!$D$37),E26,""),"")</f>
        <v/>
      </c>
      <c r="I26" s="16" t="str">
        <f t="shared" ca="1" si="4"/>
        <v/>
      </c>
      <c r="J26" s="16" t="str">
        <f>IF(ISNUMBER(C26),IF(AND(RESULTS!$C$38&lt;=C26,C26&lt;=RESULTS!$D$38),E26,""),"")</f>
        <v/>
      </c>
      <c r="K26" s="16" t="str">
        <f t="shared" ca="1" si="5"/>
        <v/>
      </c>
      <c r="L26" s="16" t="str">
        <f>IF(ISNUMBER(C26),IF(AND(RESULTS!$C$39&lt;=C26,C26&lt;=RESULTS!$D$39),E26,""),"")</f>
        <v/>
      </c>
      <c r="M26" s="16" t="str">
        <f t="shared" ca="1" si="6"/>
        <v/>
      </c>
      <c r="N26" s="16" t="str">
        <f>IF(ISNUMBER(C26),IF(AND(RESULTS!$C$40&lt;=C26,C26&lt;=RESULTS!$D$40),E26,""),"")</f>
        <v/>
      </c>
      <c r="O26" s="16" t="str">
        <f t="shared" ca="1" si="7"/>
        <v/>
      </c>
    </row>
    <row r="27" spans="1:15" x14ac:dyDescent="0.25">
      <c r="A27" s="14">
        <v>12.5</v>
      </c>
      <c r="B27" s="7">
        <v>853</v>
      </c>
      <c r="C27" s="58">
        <f t="shared" si="0"/>
        <v>12.5</v>
      </c>
      <c r="D27" s="58">
        <f t="shared" si="1"/>
        <v>853</v>
      </c>
      <c r="E27" s="15">
        <f t="shared" ca="1" si="2"/>
        <v>849.78048780487802</v>
      </c>
      <c r="F27" s="16">
        <f ca="1">IF(ISNUMBER(C27),IF(AND(RESULTS!$C$36&lt;=C27,C27&lt;=RESULTS!$D$36),E27,""),"")</f>
        <v>849.78048780487802</v>
      </c>
      <c r="G27" s="16">
        <f t="shared" ca="1" si="3"/>
        <v>12.5</v>
      </c>
      <c r="H27" s="16" t="str">
        <f>IF(ISNUMBER(C27),IF(AND(RESULTS!$C$37&lt;=C27,C27&lt;=RESULTS!$D$37),E27,""),"")</f>
        <v/>
      </c>
      <c r="I27" s="16" t="str">
        <f t="shared" ca="1" si="4"/>
        <v/>
      </c>
      <c r="J27" s="16" t="str">
        <f>IF(ISNUMBER(C27),IF(AND(RESULTS!$C$38&lt;=C27,C27&lt;=RESULTS!$D$38),E27,""),"")</f>
        <v/>
      </c>
      <c r="K27" s="16" t="str">
        <f t="shared" ca="1" si="5"/>
        <v/>
      </c>
      <c r="L27" s="16" t="str">
        <f>IF(ISNUMBER(C27),IF(AND(RESULTS!$C$39&lt;=C27,C27&lt;=RESULTS!$D$39),E27,""),"")</f>
        <v/>
      </c>
      <c r="M27" s="16" t="str">
        <f t="shared" ca="1" si="6"/>
        <v/>
      </c>
      <c r="N27" s="16" t="str">
        <f>IF(ISNUMBER(C27),IF(AND(RESULTS!$C$40&lt;=C27,C27&lt;=RESULTS!$D$40),E27,""),"")</f>
        <v/>
      </c>
      <c r="O27" s="16" t="str">
        <f t="shared" ca="1" si="7"/>
        <v/>
      </c>
    </row>
    <row r="28" spans="1:15" x14ac:dyDescent="0.25">
      <c r="A28" s="14">
        <v>13</v>
      </c>
      <c r="B28" s="7">
        <v>977</v>
      </c>
      <c r="C28" s="58">
        <f t="shared" si="0"/>
        <v>13</v>
      </c>
      <c r="D28" s="58">
        <f t="shared" si="1"/>
        <v>977</v>
      </c>
      <c r="E28" s="15">
        <f t="shared" ca="1" si="2"/>
        <v>973.78048780487802</v>
      </c>
      <c r="F28" s="16">
        <f ca="1">IF(ISNUMBER(C28),IF(AND(RESULTS!$C$36&lt;=C28,C28&lt;=RESULTS!$D$36),E28,""),"")</f>
        <v>973.78048780487802</v>
      </c>
      <c r="G28" s="16">
        <f t="shared" ca="1" si="3"/>
        <v>13</v>
      </c>
      <c r="H28" s="16" t="str">
        <f>IF(ISNUMBER(C28),IF(AND(RESULTS!$C$37&lt;=C28,C28&lt;=RESULTS!$D$37),E28,""),"")</f>
        <v/>
      </c>
      <c r="I28" s="16" t="str">
        <f t="shared" ca="1" si="4"/>
        <v/>
      </c>
      <c r="J28" s="16" t="str">
        <f>IF(ISNUMBER(C28),IF(AND(RESULTS!$C$38&lt;=C28,C28&lt;=RESULTS!$D$38),E28,""),"")</f>
        <v/>
      </c>
      <c r="K28" s="16" t="str">
        <f t="shared" ca="1" si="5"/>
        <v/>
      </c>
      <c r="L28" s="16" t="str">
        <f>IF(ISNUMBER(C28),IF(AND(RESULTS!$C$39&lt;=C28,C28&lt;=RESULTS!$D$39),E28,""),"")</f>
        <v/>
      </c>
      <c r="M28" s="16" t="str">
        <f t="shared" ca="1" si="6"/>
        <v/>
      </c>
      <c r="N28" s="16" t="str">
        <f>IF(ISNUMBER(C28),IF(AND(RESULTS!$C$40&lt;=C28,C28&lt;=RESULTS!$D$40),E28,""),"")</f>
        <v/>
      </c>
      <c r="O28" s="16" t="str">
        <f t="shared" ca="1" si="7"/>
        <v/>
      </c>
    </row>
    <row r="29" spans="1:15" x14ac:dyDescent="0.25">
      <c r="A29" s="14">
        <v>13.5</v>
      </c>
      <c r="B29" s="14">
        <v>920</v>
      </c>
      <c r="C29" s="58">
        <f t="shared" si="0"/>
        <v>13.5</v>
      </c>
      <c r="D29" s="58">
        <f t="shared" si="1"/>
        <v>920</v>
      </c>
      <c r="E29" s="15">
        <f t="shared" ca="1" si="2"/>
        <v>916.78048780487802</v>
      </c>
      <c r="F29" s="16">
        <f ca="1">IF(ISNUMBER(C29),IF(AND(RESULTS!$C$36&lt;=C29,C29&lt;=RESULTS!$D$36),E29,""),"")</f>
        <v>916.78048780487802</v>
      </c>
      <c r="G29" s="16">
        <f t="shared" ca="1" si="3"/>
        <v>13.5</v>
      </c>
      <c r="H29" s="16" t="str">
        <f>IF(ISNUMBER(C29),IF(AND(RESULTS!$C$37&lt;=C29,C29&lt;=RESULTS!$D$37),E29,""),"")</f>
        <v/>
      </c>
      <c r="I29" s="16" t="str">
        <f t="shared" ca="1" si="4"/>
        <v/>
      </c>
      <c r="J29" s="16" t="str">
        <f>IF(ISNUMBER(C29),IF(AND(RESULTS!$C$38&lt;=C29,C29&lt;=RESULTS!$D$38),E29,""),"")</f>
        <v/>
      </c>
      <c r="K29" s="16" t="str">
        <f t="shared" ca="1" si="5"/>
        <v/>
      </c>
      <c r="L29" s="16" t="str">
        <f>IF(ISNUMBER(C29),IF(AND(RESULTS!$C$39&lt;=C29,C29&lt;=RESULTS!$D$39),E29,""),"")</f>
        <v/>
      </c>
      <c r="M29" s="16" t="str">
        <f t="shared" ca="1" si="6"/>
        <v/>
      </c>
      <c r="N29" s="16" t="str">
        <f>IF(ISNUMBER(C29),IF(AND(RESULTS!$C$40&lt;=C29,C29&lt;=RESULTS!$D$40),E29,""),"")</f>
        <v/>
      </c>
      <c r="O29" s="16" t="str">
        <f t="shared" ca="1" si="7"/>
        <v/>
      </c>
    </row>
    <row r="30" spans="1:15" x14ac:dyDescent="0.25">
      <c r="A30" s="14">
        <v>14</v>
      </c>
      <c r="B30" s="7">
        <v>990</v>
      </c>
      <c r="C30" s="58">
        <f t="shared" si="0"/>
        <v>14</v>
      </c>
      <c r="D30" s="58">
        <f t="shared" si="1"/>
        <v>990</v>
      </c>
      <c r="E30" s="15">
        <f t="shared" ca="1" si="2"/>
        <v>986.78048780487802</v>
      </c>
      <c r="F30" s="16">
        <f ca="1">IF(ISNUMBER(C30),IF(AND(RESULTS!$C$36&lt;=C30,C30&lt;=RESULTS!$D$36),E30,""),"")</f>
        <v>986.78048780487802</v>
      </c>
      <c r="G30" s="16">
        <f t="shared" ca="1" si="3"/>
        <v>14</v>
      </c>
      <c r="H30" s="16" t="str">
        <f>IF(ISNUMBER(C30),IF(AND(RESULTS!$C$37&lt;=C30,C30&lt;=RESULTS!$D$37),E30,""),"")</f>
        <v/>
      </c>
      <c r="I30" s="16" t="str">
        <f t="shared" ca="1" si="4"/>
        <v/>
      </c>
      <c r="J30" s="16" t="str">
        <f>IF(ISNUMBER(C30),IF(AND(RESULTS!$C$38&lt;=C30,C30&lt;=RESULTS!$D$38),E30,""),"")</f>
        <v/>
      </c>
      <c r="K30" s="16" t="str">
        <f t="shared" ca="1" si="5"/>
        <v/>
      </c>
      <c r="L30" s="16" t="str">
        <f>IF(ISNUMBER(C30),IF(AND(RESULTS!$C$39&lt;=C30,C30&lt;=RESULTS!$D$39),E30,""),"")</f>
        <v/>
      </c>
      <c r="M30" s="16" t="str">
        <f t="shared" ca="1" si="6"/>
        <v/>
      </c>
      <c r="N30" s="16" t="str">
        <f>IF(ISNUMBER(C30),IF(AND(RESULTS!$C$40&lt;=C30,C30&lt;=RESULTS!$D$40),E30,""),"")</f>
        <v/>
      </c>
      <c r="O30" s="16" t="str">
        <f t="shared" ca="1" si="7"/>
        <v/>
      </c>
    </row>
    <row r="31" spans="1:15" x14ac:dyDescent="0.25">
      <c r="A31" s="14">
        <v>14.5</v>
      </c>
      <c r="B31" s="14">
        <v>1047</v>
      </c>
      <c r="C31" s="58">
        <f t="shared" si="0"/>
        <v>14.5</v>
      </c>
      <c r="D31" s="58">
        <f t="shared" si="1"/>
        <v>1047</v>
      </c>
      <c r="E31" s="15">
        <f t="shared" ca="1" si="2"/>
        <v>1043.780487804878</v>
      </c>
      <c r="F31" s="16">
        <f ca="1">IF(ISNUMBER(C31),IF(AND(RESULTS!$C$36&lt;=C31,C31&lt;=RESULTS!$D$36),E31,""),"")</f>
        <v>1043.780487804878</v>
      </c>
      <c r="G31" s="16">
        <f t="shared" ca="1" si="3"/>
        <v>14.5</v>
      </c>
      <c r="H31" s="16" t="str">
        <f>IF(ISNUMBER(C31),IF(AND(RESULTS!$C$37&lt;=C31,C31&lt;=RESULTS!$D$37),E31,""),"")</f>
        <v/>
      </c>
      <c r="I31" s="16" t="str">
        <f t="shared" ca="1" si="4"/>
        <v/>
      </c>
      <c r="J31" s="16" t="str">
        <f>IF(ISNUMBER(C31),IF(AND(RESULTS!$C$38&lt;=C31,C31&lt;=RESULTS!$D$38),E31,""),"")</f>
        <v/>
      </c>
      <c r="K31" s="16" t="str">
        <f t="shared" ca="1" si="5"/>
        <v/>
      </c>
      <c r="L31" s="16" t="str">
        <f>IF(ISNUMBER(C31),IF(AND(RESULTS!$C$39&lt;=C31,C31&lt;=RESULTS!$D$39),E31,""),"")</f>
        <v/>
      </c>
      <c r="M31" s="16" t="str">
        <f t="shared" ca="1" si="6"/>
        <v/>
      </c>
      <c r="N31" s="16" t="str">
        <f>IF(ISNUMBER(C31),IF(AND(RESULTS!$C$40&lt;=C31,C31&lt;=RESULTS!$D$40),E31,""),"")</f>
        <v/>
      </c>
      <c r="O31" s="16" t="str">
        <f t="shared" ca="1" si="7"/>
        <v/>
      </c>
    </row>
    <row r="32" spans="1:15" x14ac:dyDescent="0.25">
      <c r="A32" s="14">
        <v>15</v>
      </c>
      <c r="B32" s="14">
        <v>1061</v>
      </c>
      <c r="C32" s="58">
        <f t="shared" si="0"/>
        <v>15</v>
      </c>
      <c r="D32" s="58">
        <f t="shared" si="1"/>
        <v>1061</v>
      </c>
      <c r="E32" s="15">
        <f t="shared" ca="1" si="2"/>
        <v>1057.780487804878</v>
      </c>
      <c r="F32" s="16">
        <f ca="1">IF(ISNUMBER(C32),IF(AND(RESULTS!$C$36&lt;=C32,C32&lt;=RESULTS!$D$36),E32,""),"")</f>
        <v>1057.780487804878</v>
      </c>
      <c r="G32" s="16">
        <f t="shared" ca="1" si="3"/>
        <v>15</v>
      </c>
      <c r="H32" s="16" t="str">
        <f>IF(ISNUMBER(C32),IF(AND(RESULTS!$C$37&lt;=C32,C32&lt;=RESULTS!$D$37),E32,""),"")</f>
        <v/>
      </c>
      <c r="I32" s="16" t="str">
        <f t="shared" ca="1" si="4"/>
        <v/>
      </c>
      <c r="J32" s="16" t="str">
        <f>IF(ISNUMBER(C32),IF(AND(RESULTS!$C$38&lt;=C32,C32&lt;=RESULTS!$D$38),E32,""),"")</f>
        <v/>
      </c>
      <c r="K32" s="16" t="str">
        <f t="shared" ca="1" si="5"/>
        <v/>
      </c>
      <c r="L32" s="16" t="str">
        <f>IF(ISNUMBER(C32),IF(AND(RESULTS!$C$39&lt;=C32,C32&lt;=RESULTS!$D$39),E32,""),"")</f>
        <v/>
      </c>
      <c r="M32" s="16" t="str">
        <f t="shared" ca="1" si="6"/>
        <v/>
      </c>
      <c r="N32" s="16" t="str">
        <f>IF(ISNUMBER(C32),IF(AND(RESULTS!$C$40&lt;=C32,C32&lt;=RESULTS!$D$40),E32,""),"")</f>
        <v/>
      </c>
      <c r="O32" s="16" t="str">
        <f t="shared" ca="1" si="7"/>
        <v/>
      </c>
    </row>
    <row r="33" spans="1:15" x14ac:dyDescent="0.25">
      <c r="A33" s="14">
        <v>15.5</v>
      </c>
      <c r="B33" s="14">
        <v>1030</v>
      </c>
      <c r="C33" s="58">
        <f t="shared" si="0"/>
        <v>15.5</v>
      </c>
      <c r="D33" s="58">
        <f t="shared" si="1"/>
        <v>1030</v>
      </c>
      <c r="E33" s="15">
        <f t="shared" ca="1" si="2"/>
        <v>1026.780487804878</v>
      </c>
      <c r="F33" s="16">
        <f ca="1">IF(ISNUMBER(C33),IF(AND(RESULTS!$C$36&lt;=C33,C33&lt;=RESULTS!$D$36),E33,""),"")</f>
        <v>1026.780487804878</v>
      </c>
      <c r="G33" s="16">
        <f t="shared" ca="1" si="3"/>
        <v>15.5</v>
      </c>
      <c r="H33" s="16" t="str">
        <f>IF(ISNUMBER(C33),IF(AND(RESULTS!$C$37&lt;=C33,C33&lt;=RESULTS!$D$37),E33,""),"")</f>
        <v/>
      </c>
      <c r="I33" s="16" t="str">
        <f t="shared" ca="1" si="4"/>
        <v/>
      </c>
      <c r="J33" s="16" t="str">
        <f>IF(ISNUMBER(C33),IF(AND(RESULTS!$C$38&lt;=C33,C33&lt;=RESULTS!$D$38),E33,""),"")</f>
        <v/>
      </c>
      <c r="K33" s="16" t="str">
        <f t="shared" ca="1" si="5"/>
        <v/>
      </c>
      <c r="L33" s="16" t="str">
        <f>IF(ISNUMBER(C33),IF(AND(RESULTS!$C$39&lt;=C33,C33&lt;=RESULTS!$D$39),E33,""),"")</f>
        <v/>
      </c>
      <c r="M33" s="16" t="str">
        <f t="shared" ca="1" si="6"/>
        <v/>
      </c>
      <c r="N33" s="16" t="str">
        <f>IF(ISNUMBER(C33),IF(AND(RESULTS!$C$40&lt;=C33,C33&lt;=RESULTS!$D$40),E33,""),"")</f>
        <v/>
      </c>
      <c r="O33" s="16" t="str">
        <f t="shared" ca="1" si="7"/>
        <v/>
      </c>
    </row>
    <row r="34" spans="1:15" x14ac:dyDescent="0.25">
      <c r="A34" s="14">
        <v>16</v>
      </c>
      <c r="B34" s="14">
        <v>972</v>
      </c>
      <c r="C34" s="58">
        <f t="shared" si="0"/>
        <v>16</v>
      </c>
      <c r="D34" s="58">
        <f t="shared" si="1"/>
        <v>972</v>
      </c>
      <c r="E34" s="15">
        <f t="shared" ca="1" si="2"/>
        <v>968.78048780487802</v>
      </c>
      <c r="F34" s="16">
        <f ca="1">IF(ISNUMBER(C34),IF(AND(RESULTS!$C$36&lt;=C34,C34&lt;=RESULTS!$D$36),E34,""),"")</f>
        <v>968.78048780487802</v>
      </c>
      <c r="G34" s="16">
        <f t="shared" ca="1" si="3"/>
        <v>16</v>
      </c>
      <c r="H34" s="16" t="str">
        <f>IF(ISNUMBER(C34),IF(AND(RESULTS!$C$37&lt;=C34,C34&lt;=RESULTS!$D$37),E34,""),"")</f>
        <v/>
      </c>
      <c r="I34" s="16" t="str">
        <f t="shared" ca="1" si="4"/>
        <v/>
      </c>
      <c r="J34" s="16" t="str">
        <f>IF(ISNUMBER(C34),IF(AND(RESULTS!$C$38&lt;=C34,C34&lt;=RESULTS!$D$38),E34,""),"")</f>
        <v/>
      </c>
      <c r="K34" s="16" t="str">
        <f t="shared" ca="1" si="5"/>
        <v/>
      </c>
      <c r="L34" s="16" t="str">
        <f>IF(ISNUMBER(C34),IF(AND(RESULTS!$C$39&lt;=C34,C34&lt;=RESULTS!$D$39),E34,""),"")</f>
        <v/>
      </c>
      <c r="M34" s="16" t="str">
        <f t="shared" ca="1" si="6"/>
        <v/>
      </c>
      <c r="N34" s="16" t="str">
        <f>IF(ISNUMBER(C34),IF(AND(RESULTS!$C$40&lt;=C34,C34&lt;=RESULTS!$D$40),E34,""),"")</f>
        <v/>
      </c>
      <c r="O34" s="16" t="str">
        <f t="shared" ca="1" si="7"/>
        <v/>
      </c>
    </row>
    <row r="35" spans="1:15" x14ac:dyDescent="0.25">
      <c r="A35" s="14">
        <v>16.5</v>
      </c>
      <c r="B35" s="14">
        <v>922</v>
      </c>
      <c r="C35" s="58">
        <f t="shared" si="0"/>
        <v>16.5</v>
      </c>
      <c r="D35" s="58">
        <f t="shared" si="1"/>
        <v>922</v>
      </c>
      <c r="E35" s="15">
        <f t="shared" ca="1" si="2"/>
        <v>918.78048780487802</v>
      </c>
      <c r="F35" s="16">
        <f ca="1">IF(ISNUMBER(C35),IF(AND(RESULTS!$C$36&lt;=C35,C35&lt;=RESULTS!$D$36),E35,""),"")</f>
        <v>918.78048780487802</v>
      </c>
      <c r="G35" s="16">
        <f t="shared" ca="1" si="3"/>
        <v>16.5</v>
      </c>
      <c r="H35" s="16" t="str">
        <f>IF(ISNUMBER(C35),IF(AND(RESULTS!$C$37&lt;=C35,C35&lt;=RESULTS!$D$37),E35,""),"")</f>
        <v/>
      </c>
      <c r="I35" s="16" t="str">
        <f t="shared" ca="1" si="4"/>
        <v/>
      </c>
      <c r="J35" s="16" t="str">
        <f>IF(ISNUMBER(C35),IF(AND(RESULTS!$C$38&lt;=C35,C35&lt;=RESULTS!$D$38),E35,""),"")</f>
        <v/>
      </c>
      <c r="K35" s="16" t="str">
        <f t="shared" ca="1" si="5"/>
        <v/>
      </c>
      <c r="L35" s="16" t="str">
        <f>IF(ISNUMBER(C35),IF(AND(RESULTS!$C$39&lt;=C35,C35&lt;=RESULTS!$D$39),E35,""),"")</f>
        <v/>
      </c>
      <c r="M35" s="16" t="str">
        <f t="shared" ca="1" si="6"/>
        <v/>
      </c>
      <c r="N35" s="16" t="str">
        <f>IF(ISNUMBER(C35),IF(AND(RESULTS!$C$40&lt;=C35,C35&lt;=RESULTS!$D$40),E35,""),"")</f>
        <v/>
      </c>
      <c r="O35" s="16" t="str">
        <f t="shared" ca="1" si="7"/>
        <v/>
      </c>
    </row>
    <row r="36" spans="1:15" x14ac:dyDescent="0.25">
      <c r="A36" s="14">
        <v>17</v>
      </c>
      <c r="B36" s="14">
        <v>717</v>
      </c>
      <c r="C36" s="58">
        <f t="shared" si="0"/>
        <v>17</v>
      </c>
      <c r="D36" s="58">
        <f t="shared" si="1"/>
        <v>717</v>
      </c>
      <c r="E36" s="15">
        <f t="shared" ca="1" si="2"/>
        <v>713.78048780487802</v>
      </c>
      <c r="F36" s="16">
        <f ca="1">IF(ISNUMBER(C36),IF(AND(RESULTS!$C$36&lt;=C36,C36&lt;=RESULTS!$D$36),E36,""),"")</f>
        <v>713.78048780487802</v>
      </c>
      <c r="G36" s="16">
        <f t="shared" ca="1" si="3"/>
        <v>17</v>
      </c>
      <c r="H36" s="16" t="str">
        <f>IF(ISNUMBER(C36),IF(AND(RESULTS!$C$37&lt;=C36,C36&lt;=RESULTS!$D$37),E36,""),"")</f>
        <v/>
      </c>
      <c r="I36" s="16" t="str">
        <f t="shared" ca="1" si="4"/>
        <v/>
      </c>
      <c r="J36" s="16" t="str">
        <f>IF(ISNUMBER(C36),IF(AND(RESULTS!$C$38&lt;=C36,C36&lt;=RESULTS!$D$38),E36,""),"")</f>
        <v/>
      </c>
      <c r="K36" s="16" t="str">
        <f t="shared" ca="1" si="5"/>
        <v/>
      </c>
      <c r="L36" s="16" t="str">
        <f>IF(ISNUMBER(C36),IF(AND(RESULTS!$C$39&lt;=C36,C36&lt;=RESULTS!$D$39),E36,""),"")</f>
        <v/>
      </c>
      <c r="M36" s="16" t="str">
        <f t="shared" ca="1" si="6"/>
        <v/>
      </c>
      <c r="N36" s="16" t="str">
        <f>IF(ISNUMBER(C36),IF(AND(RESULTS!$C$40&lt;=C36,C36&lt;=RESULTS!$D$40),E36,""),"")</f>
        <v/>
      </c>
      <c r="O36" s="16" t="str">
        <f t="shared" ca="1" si="7"/>
        <v/>
      </c>
    </row>
    <row r="37" spans="1:15" x14ac:dyDescent="0.25">
      <c r="A37" s="14">
        <v>17.5</v>
      </c>
      <c r="B37" s="14">
        <v>648</v>
      </c>
      <c r="C37" s="58">
        <f t="shared" si="0"/>
        <v>17.5</v>
      </c>
      <c r="D37" s="58">
        <f t="shared" si="1"/>
        <v>648</v>
      </c>
      <c r="E37" s="15">
        <f t="shared" ca="1" si="2"/>
        <v>644.78048780487802</v>
      </c>
      <c r="F37" s="16">
        <f ca="1">IF(ISNUMBER(C37),IF(AND(RESULTS!$C$36&lt;=C37,C37&lt;=RESULTS!$D$36),E37,""),"")</f>
        <v>644.78048780487802</v>
      </c>
      <c r="G37" s="16">
        <f t="shared" ca="1" si="3"/>
        <v>17.5</v>
      </c>
      <c r="H37" s="16" t="str">
        <f>IF(ISNUMBER(C37),IF(AND(RESULTS!$C$37&lt;=C37,C37&lt;=RESULTS!$D$37),E37,""),"")</f>
        <v/>
      </c>
      <c r="I37" s="16" t="str">
        <f t="shared" ca="1" si="4"/>
        <v/>
      </c>
      <c r="J37" s="16" t="str">
        <f>IF(ISNUMBER(C37),IF(AND(RESULTS!$C$38&lt;=C37,C37&lt;=RESULTS!$D$38),E37,""),"")</f>
        <v/>
      </c>
      <c r="K37" s="16" t="str">
        <f t="shared" ca="1" si="5"/>
        <v/>
      </c>
      <c r="L37" s="16" t="str">
        <f>IF(ISNUMBER(C37),IF(AND(RESULTS!$C$39&lt;=C37,C37&lt;=RESULTS!$D$39),E37,""),"")</f>
        <v/>
      </c>
      <c r="M37" s="16" t="str">
        <f t="shared" ca="1" si="6"/>
        <v/>
      </c>
      <c r="N37" s="16" t="str">
        <f>IF(ISNUMBER(C37),IF(AND(RESULTS!$C$40&lt;=C37,C37&lt;=RESULTS!$D$40),E37,""),"")</f>
        <v/>
      </c>
      <c r="O37" s="16" t="str">
        <f t="shared" ca="1" si="7"/>
        <v/>
      </c>
    </row>
    <row r="38" spans="1:15" x14ac:dyDescent="0.25">
      <c r="A38" s="14">
        <v>18</v>
      </c>
      <c r="B38" s="14">
        <v>475</v>
      </c>
      <c r="C38" s="58">
        <f t="shared" si="0"/>
        <v>18</v>
      </c>
      <c r="D38" s="58">
        <f t="shared" si="1"/>
        <v>475</v>
      </c>
      <c r="E38" s="15">
        <f t="shared" ca="1" si="2"/>
        <v>471.78048780487802</v>
      </c>
      <c r="F38" s="16">
        <f ca="1">IF(ISNUMBER(C38),IF(AND(RESULTS!$C$36&lt;=C38,C38&lt;=RESULTS!$D$36),E38,""),"")</f>
        <v>471.78048780487802</v>
      </c>
      <c r="G38" s="16" t="str">
        <f t="shared" ca="1" si="3"/>
        <v/>
      </c>
      <c r="H38" s="16" t="str">
        <f>IF(ISNUMBER(C38),IF(AND(RESULTS!$C$37&lt;=C38,C38&lt;=RESULTS!$D$37),E38,""),"")</f>
        <v/>
      </c>
      <c r="I38" s="16" t="str">
        <f t="shared" ca="1" si="4"/>
        <v/>
      </c>
      <c r="J38" s="16" t="str">
        <f>IF(ISNUMBER(C38),IF(AND(RESULTS!$C$38&lt;=C38,C38&lt;=RESULTS!$D$38),E38,""),"")</f>
        <v/>
      </c>
      <c r="K38" s="16" t="str">
        <f t="shared" ca="1" si="5"/>
        <v/>
      </c>
      <c r="L38" s="16" t="str">
        <f>IF(ISNUMBER(C38),IF(AND(RESULTS!$C$39&lt;=C38,C38&lt;=RESULTS!$D$39),E38,""),"")</f>
        <v/>
      </c>
      <c r="M38" s="16" t="str">
        <f t="shared" ca="1" si="6"/>
        <v/>
      </c>
      <c r="N38" s="16" t="str">
        <f>IF(ISNUMBER(C38),IF(AND(RESULTS!$C$40&lt;=C38,C38&lt;=RESULTS!$D$40),E38,""),"")</f>
        <v/>
      </c>
      <c r="O38" s="16" t="str">
        <f t="shared" ca="1" si="7"/>
        <v/>
      </c>
    </row>
    <row r="39" spans="1:15" x14ac:dyDescent="0.25">
      <c r="A39" s="14">
        <v>18.5</v>
      </c>
      <c r="B39" s="14">
        <v>342</v>
      </c>
      <c r="C39" s="58">
        <f t="shared" si="0"/>
        <v>18.5</v>
      </c>
      <c r="D39" s="58">
        <f t="shared" si="1"/>
        <v>342</v>
      </c>
      <c r="E39" s="15">
        <f t="shared" ca="1" si="2"/>
        <v>338.78048780487802</v>
      </c>
      <c r="F39" s="16">
        <f ca="1">IF(ISNUMBER(C39),IF(AND(RESULTS!$C$36&lt;=C39,C39&lt;=RESULTS!$D$36),E39,""),"")</f>
        <v>338.78048780487802</v>
      </c>
      <c r="G39" s="16" t="str">
        <f t="shared" ca="1" si="3"/>
        <v/>
      </c>
      <c r="H39" s="16" t="str">
        <f>IF(ISNUMBER(C39),IF(AND(RESULTS!$C$37&lt;=C39,C39&lt;=RESULTS!$D$37),E39,""),"")</f>
        <v/>
      </c>
      <c r="I39" s="16" t="str">
        <f t="shared" ca="1" si="4"/>
        <v/>
      </c>
      <c r="J39" s="16" t="str">
        <f>IF(ISNUMBER(C39),IF(AND(RESULTS!$C$38&lt;=C39,C39&lt;=RESULTS!$D$38),E39,""),"")</f>
        <v/>
      </c>
      <c r="K39" s="16" t="str">
        <f t="shared" ca="1" si="5"/>
        <v/>
      </c>
      <c r="L39" s="16" t="str">
        <f>IF(ISNUMBER(C39),IF(AND(RESULTS!$C$39&lt;=C39,C39&lt;=RESULTS!$D$39),E39,""),"")</f>
        <v/>
      </c>
      <c r="M39" s="16" t="str">
        <f t="shared" ca="1" si="6"/>
        <v/>
      </c>
      <c r="N39" s="16" t="str">
        <f>IF(ISNUMBER(C39),IF(AND(RESULTS!$C$40&lt;=C39,C39&lt;=RESULTS!$D$40),E39,""),"")</f>
        <v/>
      </c>
      <c r="O39" s="16" t="str">
        <f t="shared" ca="1" si="7"/>
        <v/>
      </c>
    </row>
    <row r="40" spans="1:15" x14ac:dyDescent="0.25">
      <c r="A40" s="14">
        <v>19</v>
      </c>
      <c r="B40" s="14">
        <v>260</v>
      </c>
      <c r="C40" s="58">
        <f t="shared" si="0"/>
        <v>19</v>
      </c>
      <c r="D40" s="58">
        <f t="shared" si="1"/>
        <v>260</v>
      </c>
      <c r="E40" s="15">
        <f t="shared" ca="1" si="2"/>
        <v>256.78048780487802</v>
      </c>
      <c r="F40" s="16">
        <f ca="1">IF(ISNUMBER(C40),IF(AND(RESULTS!$C$36&lt;=C40,C40&lt;=RESULTS!$D$36),E40,""),"")</f>
        <v>256.78048780487802</v>
      </c>
      <c r="G40" s="16" t="str">
        <f t="shared" ca="1" si="3"/>
        <v/>
      </c>
      <c r="H40" s="16" t="str">
        <f>IF(ISNUMBER(C40),IF(AND(RESULTS!$C$37&lt;=C40,C40&lt;=RESULTS!$D$37),E40,""),"")</f>
        <v/>
      </c>
      <c r="I40" s="16" t="str">
        <f t="shared" ca="1" si="4"/>
        <v/>
      </c>
      <c r="J40" s="16" t="str">
        <f>IF(ISNUMBER(C40),IF(AND(RESULTS!$C$38&lt;=C40,C40&lt;=RESULTS!$D$38),E40,""),"")</f>
        <v/>
      </c>
      <c r="K40" s="16" t="str">
        <f t="shared" ca="1" si="5"/>
        <v/>
      </c>
      <c r="L40" s="16" t="str">
        <f>IF(ISNUMBER(C40),IF(AND(RESULTS!$C$39&lt;=C40,C40&lt;=RESULTS!$D$39),E40,""),"")</f>
        <v/>
      </c>
      <c r="M40" s="16" t="str">
        <f t="shared" ca="1" si="6"/>
        <v/>
      </c>
      <c r="N40" s="16" t="str">
        <f>IF(ISNUMBER(C40),IF(AND(RESULTS!$C$40&lt;=C40,C40&lt;=RESULTS!$D$40),E40,""),"")</f>
        <v/>
      </c>
      <c r="O40" s="16" t="str">
        <f t="shared" ca="1" si="7"/>
        <v/>
      </c>
    </row>
    <row r="41" spans="1:15" x14ac:dyDescent="0.25">
      <c r="A41" s="14">
        <v>19.5</v>
      </c>
      <c r="B41" s="14">
        <v>143</v>
      </c>
      <c r="C41" s="58">
        <f t="shared" si="0"/>
        <v>19.5</v>
      </c>
      <c r="D41" s="58">
        <f t="shared" si="1"/>
        <v>143</v>
      </c>
      <c r="E41" s="15">
        <f t="shared" ca="1" si="2"/>
        <v>139.78048780487805</v>
      </c>
      <c r="F41" s="16">
        <f ca="1">IF(ISNUMBER(C41),IF(AND(RESULTS!$C$36&lt;=C41,C41&lt;=RESULTS!$D$36),E41,""),"")</f>
        <v>139.78048780487805</v>
      </c>
      <c r="G41" s="16" t="str">
        <f t="shared" ca="1" si="3"/>
        <v/>
      </c>
      <c r="H41" s="16" t="str">
        <f>IF(ISNUMBER(C41),IF(AND(RESULTS!$C$37&lt;=C41,C41&lt;=RESULTS!$D$37),E41,""),"")</f>
        <v/>
      </c>
      <c r="I41" s="16" t="str">
        <f t="shared" ca="1" si="4"/>
        <v/>
      </c>
      <c r="J41" s="16" t="str">
        <f>IF(ISNUMBER(C41),IF(AND(RESULTS!$C$38&lt;=C41,C41&lt;=RESULTS!$D$38),E41,""),"")</f>
        <v/>
      </c>
      <c r="K41" s="16" t="str">
        <f t="shared" ca="1" si="5"/>
        <v/>
      </c>
      <c r="L41" s="16" t="str">
        <f>IF(ISNUMBER(C41),IF(AND(RESULTS!$C$39&lt;=C41,C41&lt;=RESULTS!$D$39),E41,""),"")</f>
        <v/>
      </c>
      <c r="M41" s="16" t="str">
        <f t="shared" ca="1" si="6"/>
        <v/>
      </c>
      <c r="N41" s="16" t="str">
        <f>IF(ISNUMBER(C41),IF(AND(RESULTS!$C$40&lt;=C41,C41&lt;=RESULTS!$D$40),E41,""),"")</f>
        <v/>
      </c>
      <c r="O41" s="16" t="str">
        <f t="shared" ca="1" si="7"/>
        <v/>
      </c>
    </row>
    <row r="42" spans="1:15" x14ac:dyDescent="0.25">
      <c r="A42" s="14">
        <v>20</v>
      </c>
      <c r="B42" s="14">
        <v>104</v>
      </c>
      <c r="C42" s="58">
        <f t="shared" si="0"/>
        <v>20</v>
      </c>
      <c r="D42" s="58">
        <f t="shared" si="1"/>
        <v>104</v>
      </c>
      <c r="E42" s="15">
        <f t="shared" ca="1" si="2"/>
        <v>100.78048780487805</v>
      </c>
      <c r="F42" s="16">
        <f ca="1">IF(ISNUMBER(C42),IF(AND(RESULTS!$C$36&lt;=C42,C42&lt;=RESULTS!$D$36),E42,""),"")</f>
        <v>100.78048780487805</v>
      </c>
      <c r="G42" s="16" t="str">
        <f t="shared" ca="1" si="3"/>
        <v/>
      </c>
      <c r="H42" s="16" t="str">
        <f>IF(ISNUMBER(C42),IF(AND(RESULTS!$C$37&lt;=C42,C42&lt;=RESULTS!$D$37),E42,""),"")</f>
        <v/>
      </c>
      <c r="I42" s="16" t="str">
        <f t="shared" ca="1" si="4"/>
        <v/>
      </c>
      <c r="J42" s="16" t="str">
        <f>IF(ISNUMBER(C42),IF(AND(RESULTS!$C$38&lt;=C42,C42&lt;=RESULTS!$D$38),E42,""),"")</f>
        <v/>
      </c>
      <c r="K42" s="16" t="str">
        <f t="shared" ca="1" si="5"/>
        <v/>
      </c>
      <c r="L42" s="16" t="str">
        <f>IF(ISNUMBER(C42),IF(AND(RESULTS!$C$39&lt;=C42,C42&lt;=RESULTS!$D$39),E42,""),"")</f>
        <v/>
      </c>
      <c r="M42" s="16" t="str">
        <f t="shared" ca="1" si="6"/>
        <v/>
      </c>
      <c r="N42" s="16" t="str">
        <f>IF(ISNUMBER(C42),IF(AND(RESULTS!$C$40&lt;=C42,C42&lt;=RESULTS!$D$40),E42,""),"")</f>
        <v/>
      </c>
      <c r="O42" s="16" t="str">
        <f t="shared" ca="1" si="7"/>
        <v/>
      </c>
    </row>
    <row r="43" spans="1:15" x14ac:dyDescent="0.25">
      <c r="A43" s="14">
        <v>20.5</v>
      </c>
      <c r="B43" s="14">
        <v>62</v>
      </c>
      <c r="C43" s="58">
        <f t="shared" si="0"/>
        <v>20.5</v>
      </c>
      <c r="D43" s="58">
        <f t="shared" si="1"/>
        <v>62</v>
      </c>
      <c r="E43" s="15">
        <f t="shared" ca="1" si="2"/>
        <v>58.780487804878049</v>
      </c>
      <c r="F43" s="16">
        <f ca="1">IF(ISNUMBER(C43),IF(AND(RESULTS!$C$36&lt;=C43,C43&lt;=RESULTS!$D$36),E43,""),"")</f>
        <v>58.780487804878049</v>
      </c>
      <c r="G43" s="16" t="str">
        <f t="shared" ca="1" si="3"/>
        <v/>
      </c>
      <c r="H43" s="16" t="str">
        <f>IF(ISNUMBER(C43),IF(AND(RESULTS!$C$37&lt;=C43,C43&lt;=RESULTS!$D$37),E43,""),"")</f>
        <v/>
      </c>
      <c r="I43" s="16" t="str">
        <f t="shared" ca="1" si="4"/>
        <v/>
      </c>
      <c r="J43" s="16" t="str">
        <f>IF(ISNUMBER(C43),IF(AND(RESULTS!$C$38&lt;=C43,C43&lt;=RESULTS!$D$38),E43,""),"")</f>
        <v/>
      </c>
      <c r="K43" s="16" t="str">
        <f t="shared" ca="1" si="5"/>
        <v/>
      </c>
      <c r="L43" s="16" t="str">
        <f>IF(ISNUMBER(C43),IF(AND(RESULTS!$C$39&lt;=C43,C43&lt;=RESULTS!$D$39),E43,""),"")</f>
        <v/>
      </c>
      <c r="M43" s="16" t="str">
        <f t="shared" ca="1" si="6"/>
        <v/>
      </c>
      <c r="N43" s="16" t="str">
        <f>IF(ISNUMBER(C43),IF(AND(RESULTS!$C$40&lt;=C43,C43&lt;=RESULTS!$D$40),E43,""),"")</f>
        <v/>
      </c>
      <c r="O43" s="16" t="str">
        <f t="shared" ca="1" si="7"/>
        <v/>
      </c>
    </row>
    <row r="44" spans="1:15" x14ac:dyDescent="0.25">
      <c r="A44" s="14">
        <v>21</v>
      </c>
      <c r="B44" s="14">
        <v>38</v>
      </c>
      <c r="C44" s="58">
        <f t="shared" si="0"/>
        <v>21</v>
      </c>
      <c r="D44" s="58">
        <f t="shared" si="1"/>
        <v>38</v>
      </c>
      <c r="E44" s="15">
        <f t="shared" ca="1" si="2"/>
        <v>34.780487804878049</v>
      </c>
      <c r="F44" s="16">
        <f ca="1">IF(ISNUMBER(C44),IF(AND(RESULTS!$C$36&lt;=C44,C44&lt;=RESULTS!$D$36),E44,""),"")</f>
        <v>34.780487804878049</v>
      </c>
      <c r="G44" s="16" t="str">
        <f t="shared" ca="1" si="3"/>
        <v/>
      </c>
      <c r="H44" s="16" t="str">
        <f>IF(ISNUMBER(C44),IF(AND(RESULTS!$C$37&lt;=C44,C44&lt;=RESULTS!$D$37),E44,""),"")</f>
        <v/>
      </c>
      <c r="I44" s="16" t="str">
        <f t="shared" ca="1" si="4"/>
        <v/>
      </c>
      <c r="J44" s="16" t="str">
        <f>IF(ISNUMBER(C44),IF(AND(RESULTS!$C$38&lt;=C44,C44&lt;=RESULTS!$D$38),E44,""),"")</f>
        <v/>
      </c>
      <c r="K44" s="16" t="str">
        <f t="shared" ca="1" si="5"/>
        <v/>
      </c>
      <c r="L44" s="16" t="str">
        <f>IF(ISNUMBER(C44),IF(AND(RESULTS!$C$39&lt;=C44,C44&lt;=RESULTS!$D$39),E44,""),"")</f>
        <v/>
      </c>
      <c r="M44" s="16" t="str">
        <f t="shared" ca="1" si="6"/>
        <v/>
      </c>
      <c r="N44" s="16" t="str">
        <f>IF(ISNUMBER(C44),IF(AND(RESULTS!$C$40&lt;=C44,C44&lt;=RESULTS!$D$40),E44,""),"")</f>
        <v/>
      </c>
      <c r="O44" s="16" t="str">
        <f t="shared" ca="1" si="7"/>
        <v/>
      </c>
    </row>
    <row r="45" spans="1:15" x14ac:dyDescent="0.25">
      <c r="A45" s="14">
        <v>21.5</v>
      </c>
      <c r="B45" s="14">
        <v>27</v>
      </c>
      <c r="C45" s="58">
        <f t="shared" si="0"/>
        <v>21.5</v>
      </c>
      <c r="D45" s="58">
        <f t="shared" si="1"/>
        <v>27</v>
      </c>
      <c r="E45" s="15">
        <f t="shared" ca="1" si="2"/>
        <v>23.780487804878049</v>
      </c>
      <c r="F45" s="16">
        <f ca="1">IF(ISNUMBER(C45),IF(AND(RESULTS!$C$36&lt;=C45,C45&lt;=RESULTS!$D$36),E45,""),"")</f>
        <v>23.780487804878049</v>
      </c>
      <c r="G45" s="16" t="str">
        <f t="shared" ca="1" si="3"/>
        <v/>
      </c>
      <c r="H45" s="16" t="str">
        <f>IF(ISNUMBER(C45),IF(AND(RESULTS!$C$37&lt;=C45,C45&lt;=RESULTS!$D$37),E45,""),"")</f>
        <v/>
      </c>
      <c r="I45" s="16" t="str">
        <f t="shared" ca="1" si="4"/>
        <v/>
      </c>
      <c r="J45" s="16" t="str">
        <f>IF(ISNUMBER(C45),IF(AND(RESULTS!$C$38&lt;=C45,C45&lt;=RESULTS!$D$38),E45,""),"")</f>
        <v/>
      </c>
      <c r="K45" s="16" t="str">
        <f t="shared" ca="1" si="5"/>
        <v/>
      </c>
      <c r="L45" s="16" t="str">
        <f>IF(ISNUMBER(C45),IF(AND(RESULTS!$C$39&lt;=C45,C45&lt;=RESULTS!$D$39),E45,""),"")</f>
        <v/>
      </c>
      <c r="M45" s="16" t="str">
        <f t="shared" ca="1" si="6"/>
        <v/>
      </c>
      <c r="N45" s="16" t="str">
        <f>IF(ISNUMBER(C45),IF(AND(RESULTS!$C$40&lt;=C45,C45&lt;=RESULTS!$D$40),E45,""),"")</f>
        <v/>
      </c>
      <c r="O45" s="16" t="str">
        <f t="shared" ca="1" si="7"/>
        <v/>
      </c>
    </row>
    <row r="46" spans="1:15" x14ac:dyDescent="0.25">
      <c r="A46" s="14">
        <v>22</v>
      </c>
      <c r="B46" s="14">
        <v>25</v>
      </c>
      <c r="C46" s="58">
        <f t="shared" si="0"/>
        <v>22</v>
      </c>
      <c r="D46" s="58">
        <f t="shared" si="1"/>
        <v>25</v>
      </c>
      <c r="E46" s="15">
        <f t="shared" ca="1" si="2"/>
        <v>21.780487804878049</v>
      </c>
      <c r="F46" s="16">
        <f ca="1">IF(ISNUMBER(C46),IF(AND(RESULTS!$C$36&lt;=C46,C46&lt;=RESULTS!$D$36),E46,""),"")</f>
        <v>21.780487804878049</v>
      </c>
      <c r="G46" s="16" t="str">
        <f t="shared" ca="1" si="3"/>
        <v/>
      </c>
      <c r="H46" s="16" t="str">
        <f>IF(ISNUMBER(C46),IF(AND(RESULTS!$C$37&lt;=C46,C46&lt;=RESULTS!$D$37),E46,""),"")</f>
        <v/>
      </c>
      <c r="I46" s="16" t="str">
        <f t="shared" ca="1" si="4"/>
        <v/>
      </c>
      <c r="J46" s="16" t="str">
        <f>IF(ISNUMBER(C46),IF(AND(RESULTS!$C$38&lt;=C46,C46&lt;=RESULTS!$D$38),E46,""),"")</f>
        <v/>
      </c>
      <c r="K46" s="16" t="str">
        <f t="shared" ca="1" si="5"/>
        <v/>
      </c>
      <c r="L46" s="16" t="str">
        <f>IF(ISNUMBER(C46),IF(AND(RESULTS!$C$39&lt;=C46,C46&lt;=RESULTS!$D$39),E46,""),"")</f>
        <v/>
      </c>
      <c r="M46" s="16" t="str">
        <f t="shared" ca="1" si="6"/>
        <v/>
      </c>
      <c r="N46" s="16" t="str">
        <f>IF(ISNUMBER(C46),IF(AND(RESULTS!$C$40&lt;=C46,C46&lt;=RESULTS!$D$40),E46,""),"")</f>
        <v/>
      </c>
      <c r="O46" s="16" t="str">
        <f t="shared" ca="1" si="7"/>
        <v/>
      </c>
    </row>
    <row r="47" spans="1:15" x14ac:dyDescent="0.25">
      <c r="A47" s="14">
        <v>22.5</v>
      </c>
      <c r="B47" s="14">
        <v>15</v>
      </c>
      <c r="C47" s="58">
        <f t="shared" si="0"/>
        <v>22.5</v>
      </c>
      <c r="D47" s="58">
        <f t="shared" si="1"/>
        <v>15</v>
      </c>
      <c r="E47" s="15">
        <f t="shared" ca="1" si="2"/>
        <v>11.780487804878049</v>
      </c>
      <c r="F47" s="16">
        <f ca="1">IF(ISNUMBER(C47),IF(AND(RESULTS!$C$36&lt;=C47,C47&lt;=RESULTS!$D$36),E47,""),"")</f>
        <v>11.780487804878049</v>
      </c>
      <c r="G47" s="16" t="str">
        <f t="shared" ca="1" si="3"/>
        <v/>
      </c>
      <c r="H47" s="16" t="str">
        <f>IF(ISNUMBER(C47),IF(AND(RESULTS!$C$37&lt;=C47,C47&lt;=RESULTS!$D$37),E47,""),"")</f>
        <v/>
      </c>
      <c r="I47" s="16" t="str">
        <f t="shared" ca="1" si="4"/>
        <v/>
      </c>
      <c r="J47" s="16" t="str">
        <f>IF(ISNUMBER(C47),IF(AND(RESULTS!$C$38&lt;=C47,C47&lt;=RESULTS!$D$38),E47,""),"")</f>
        <v/>
      </c>
      <c r="K47" s="16" t="str">
        <f t="shared" ca="1" si="5"/>
        <v/>
      </c>
      <c r="L47" s="16" t="str">
        <f>IF(ISNUMBER(C47),IF(AND(RESULTS!$C$39&lt;=C47,C47&lt;=RESULTS!$D$39),E47,""),"")</f>
        <v/>
      </c>
      <c r="M47" s="16" t="str">
        <f t="shared" ca="1" si="6"/>
        <v/>
      </c>
      <c r="N47" s="16" t="str">
        <f>IF(ISNUMBER(C47),IF(AND(RESULTS!$C$40&lt;=C47,C47&lt;=RESULTS!$D$40),E47,""),"")</f>
        <v/>
      </c>
      <c r="O47" s="16" t="str">
        <f t="shared" ca="1" si="7"/>
        <v/>
      </c>
    </row>
    <row r="48" spans="1:15" x14ac:dyDescent="0.25">
      <c r="A48" s="14">
        <v>23</v>
      </c>
      <c r="B48" s="14">
        <v>10</v>
      </c>
      <c r="C48" s="58">
        <f t="shared" si="0"/>
        <v>23</v>
      </c>
      <c r="D48" s="58">
        <f t="shared" si="1"/>
        <v>10</v>
      </c>
      <c r="E48" s="15">
        <f t="shared" ca="1" si="2"/>
        <v>6.7804878048780486</v>
      </c>
      <c r="F48" s="16">
        <f ca="1">IF(ISNUMBER(C48),IF(AND(RESULTS!$C$36&lt;=C48,C48&lt;=RESULTS!$D$36),E48,""),"")</f>
        <v>6.7804878048780486</v>
      </c>
      <c r="G48" s="16" t="str">
        <f t="shared" ca="1" si="3"/>
        <v/>
      </c>
      <c r="H48" s="16" t="str">
        <f>IF(ISNUMBER(C48),IF(AND(RESULTS!$C$37&lt;=C48,C48&lt;=RESULTS!$D$37),E48,""),"")</f>
        <v/>
      </c>
      <c r="I48" s="16" t="str">
        <f t="shared" ca="1" si="4"/>
        <v/>
      </c>
      <c r="J48" s="16" t="str">
        <f>IF(ISNUMBER(C48),IF(AND(RESULTS!$C$38&lt;=C48,C48&lt;=RESULTS!$D$38),E48,""),"")</f>
        <v/>
      </c>
      <c r="K48" s="16" t="str">
        <f t="shared" ca="1" si="5"/>
        <v/>
      </c>
      <c r="L48" s="16" t="str">
        <f>IF(ISNUMBER(C48),IF(AND(RESULTS!$C$39&lt;=C48,C48&lt;=RESULTS!$D$39),E48,""),"")</f>
        <v/>
      </c>
      <c r="M48" s="16" t="str">
        <f t="shared" ca="1" si="6"/>
        <v/>
      </c>
      <c r="N48" s="16" t="str">
        <f>IF(ISNUMBER(C48),IF(AND(RESULTS!$C$40&lt;=C48,C48&lt;=RESULTS!$D$40),E48,""),"")</f>
        <v/>
      </c>
      <c r="O48" s="16" t="str">
        <f t="shared" ca="1" si="7"/>
        <v/>
      </c>
    </row>
    <row r="49" spans="1:15" x14ac:dyDescent="0.25">
      <c r="A49" s="14">
        <v>23.5</v>
      </c>
      <c r="B49" s="14">
        <v>12</v>
      </c>
      <c r="C49" s="58">
        <f t="shared" si="0"/>
        <v>23.5</v>
      </c>
      <c r="D49" s="58">
        <f t="shared" si="1"/>
        <v>12</v>
      </c>
      <c r="E49" s="15">
        <f t="shared" ca="1" si="2"/>
        <v>8.7804878048780495</v>
      </c>
      <c r="F49" s="16" t="str">
        <f>IF(ISNUMBER(C49),IF(AND(RESULTS!$C$36&lt;=C49,C49&lt;=RESULTS!$D$36),E49,""),"")</f>
        <v/>
      </c>
      <c r="G49" s="16" t="str">
        <f t="shared" ca="1" si="3"/>
        <v/>
      </c>
      <c r="H49" s="16" t="str">
        <f>IF(ISNUMBER(C49),IF(AND(RESULTS!$C$37&lt;=C49,C49&lt;=RESULTS!$D$37),E49,""),"")</f>
        <v/>
      </c>
      <c r="I49" s="16" t="str">
        <f t="shared" ca="1" si="4"/>
        <v/>
      </c>
      <c r="J49" s="16" t="str">
        <f>IF(ISNUMBER(C49),IF(AND(RESULTS!$C$38&lt;=C49,C49&lt;=RESULTS!$D$38),E49,""),"")</f>
        <v/>
      </c>
      <c r="K49" s="16" t="str">
        <f t="shared" ca="1" si="5"/>
        <v/>
      </c>
      <c r="L49" s="16" t="str">
        <f>IF(ISNUMBER(C49),IF(AND(RESULTS!$C$39&lt;=C49,C49&lt;=RESULTS!$D$39),E49,""),"")</f>
        <v/>
      </c>
      <c r="M49" s="16" t="str">
        <f t="shared" ca="1" si="6"/>
        <v/>
      </c>
      <c r="N49" s="16" t="str">
        <f>IF(ISNUMBER(C49),IF(AND(RESULTS!$C$40&lt;=C49,C49&lt;=RESULTS!$D$40),E49,""),"")</f>
        <v/>
      </c>
      <c r="O49" s="16" t="str">
        <f t="shared" ca="1" si="7"/>
        <v/>
      </c>
    </row>
    <row r="50" spans="1:15" x14ac:dyDescent="0.25">
      <c r="A50" s="14">
        <v>24</v>
      </c>
      <c r="B50" s="14">
        <v>8</v>
      </c>
      <c r="C50" s="58">
        <f t="shared" si="0"/>
        <v>24</v>
      </c>
      <c r="D50" s="58">
        <f t="shared" si="1"/>
        <v>8</v>
      </c>
      <c r="E50" s="15">
        <f t="shared" ca="1" si="2"/>
        <v>4.7804878048780486</v>
      </c>
      <c r="F50" s="16" t="str">
        <f>IF(ISNUMBER(C50),IF(AND(RESULTS!$C$36&lt;=C50,C50&lt;=RESULTS!$D$36),E50,""),"")</f>
        <v/>
      </c>
      <c r="G50" s="16" t="str">
        <f t="shared" ca="1" si="3"/>
        <v/>
      </c>
      <c r="H50" s="16" t="str">
        <f>IF(ISNUMBER(C50),IF(AND(RESULTS!$C$37&lt;=C50,C50&lt;=RESULTS!$D$37),E50,""),"")</f>
        <v/>
      </c>
      <c r="I50" s="16" t="str">
        <f t="shared" ca="1" si="4"/>
        <v/>
      </c>
      <c r="J50" s="16" t="str">
        <f>IF(ISNUMBER(C50),IF(AND(RESULTS!$C$38&lt;=C50,C50&lt;=RESULTS!$D$38),E50,""),"")</f>
        <v/>
      </c>
      <c r="K50" s="16" t="str">
        <f t="shared" ca="1" si="5"/>
        <v/>
      </c>
      <c r="L50" s="16" t="str">
        <f>IF(ISNUMBER(C50),IF(AND(RESULTS!$C$39&lt;=C50,C50&lt;=RESULTS!$D$39),E50,""),"")</f>
        <v/>
      </c>
      <c r="M50" s="16" t="str">
        <f t="shared" ca="1" si="6"/>
        <v/>
      </c>
      <c r="N50" s="16" t="str">
        <f>IF(ISNUMBER(C50),IF(AND(RESULTS!$C$40&lt;=C50,C50&lt;=RESULTS!$D$40),E50,""),"")</f>
        <v/>
      </c>
      <c r="O50" s="16" t="str">
        <f t="shared" ca="1" si="7"/>
        <v/>
      </c>
    </row>
    <row r="51" spans="1:15" x14ac:dyDescent="0.25">
      <c r="A51" s="14">
        <v>24.5</v>
      </c>
      <c r="B51" s="14">
        <v>13</v>
      </c>
      <c r="C51" s="58">
        <f t="shared" si="0"/>
        <v>24.5</v>
      </c>
      <c r="D51" s="58">
        <f t="shared" si="1"/>
        <v>13</v>
      </c>
      <c r="E51" s="15">
        <f t="shared" ca="1" si="2"/>
        <v>9.7804878048780495</v>
      </c>
      <c r="F51" s="16" t="str">
        <f>IF(ISNUMBER(C51),IF(AND(RESULTS!$C$36&lt;=C51,C51&lt;=RESULTS!$D$36),E51,""),"")</f>
        <v/>
      </c>
      <c r="G51" s="16" t="str">
        <f t="shared" ca="1" si="3"/>
        <v/>
      </c>
      <c r="H51" s="16" t="str">
        <f>IF(ISNUMBER(C51),IF(AND(RESULTS!$C$37&lt;=C51,C51&lt;=RESULTS!$D$37),E51,""),"")</f>
        <v/>
      </c>
      <c r="I51" s="16" t="str">
        <f t="shared" ca="1" si="4"/>
        <v/>
      </c>
      <c r="J51" s="16" t="str">
        <f>IF(ISNUMBER(C51),IF(AND(RESULTS!$C$38&lt;=C51,C51&lt;=RESULTS!$D$38),E51,""),"")</f>
        <v/>
      </c>
      <c r="K51" s="16" t="str">
        <f t="shared" ca="1" si="5"/>
        <v/>
      </c>
      <c r="L51" s="16" t="str">
        <f>IF(ISNUMBER(C51),IF(AND(RESULTS!$C$39&lt;=C51,C51&lt;=RESULTS!$D$39),E51,""),"")</f>
        <v/>
      </c>
      <c r="M51" s="16" t="str">
        <f t="shared" ca="1" si="6"/>
        <v/>
      </c>
      <c r="N51" s="16" t="str">
        <f>IF(ISNUMBER(C51),IF(AND(RESULTS!$C$40&lt;=C51,C51&lt;=RESULTS!$D$40),E51,""),"")</f>
        <v/>
      </c>
      <c r="O51" s="16" t="str">
        <f t="shared" ca="1" si="7"/>
        <v/>
      </c>
    </row>
    <row r="52" spans="1:15" x14ac:dyDescent="0.25">
      <c r="A52" s="14">
        <v>25</v>
      </c>
      <c r="B52" s="14">
        <v>17</v>
      </c>
      <c r="C52" s="58">
        <f t="shared" si="0"/>
        <v>25</v>
      </c>
      <c r="D52" s="58">
        <f t="shared" si="1"/>
        <v>17</v>
      </c>
      <c r="E52" s="15">
        <f t="shared" ca="1" si="2"/>
        <v>13.780487804878049</v>
      </c>
      <c r="F52" s="16" t="str">
        <f>IF(ISNUMBER(C52),IF(AND(RESULTS!$C$36&lt;=C52,C52&lt;=RESULTS!$D$36),E52,""),"")</f>
        <v/>
      </c>
      <c r="G52" s="16" t="str">
        <f t="shared" ca="1" si="3"/>
        <v/>
      </c>
      <c r="H52" s="16" t="str">
        <f>IF(ISNUMBER(C52),IF(AND(RESULTS!$C$37&lt;=C52,C52&lt;=RESULTS!$D$37),E52,""),"")</f>
        <v/>
      </c>
      <c r="I52" s="16" t="str">
        <f t="shared" ca="1" si="4"/>
        <v/>
      </c>
      <c r="J52" s="16" t="str">
        <f>IF(ISNUMBER(C52),IF(AND(RESULTS!$C$38&lt;=C52,C52&lt;=RESULTS!$D$38),E52,""),"")</f>
        <v/>
      </c>
      <c r="K52" s="16" t="str">
        <f t="shared" ca="1" si="5"/>
        <v/>
      </c>
      <c r="L52" s="16" t="str">
        <f>IF(ISNUMBER(C52),IF(AND(RESULTS!$C$39&lt;=C52,C52&lt;=RESULTS!$D$39),E52,""),"")</f>
        <v/>
      </c>
      <c r="M52" s="16" t="str">
        <f t="shared" ca="1" si="6"/>
        <v/>
      </c>
      <c r="N52" s="16" t="str">
        <f>IF(ISNUMBER(C52),IF(AND(RESULTS!$C$40&lt;=C52,C52&lt;=RESULTS!$D$40),E52,""),"")</f>
        <v/>
      </c>
      <c r="O52" s="16" t="str">
        <f t="shared" ca="1" si="7"/>
        <v/>
      </c>
    </row>
    <row r="53" spans="1:15" x14ac:dyDescent="0.25">
      <c r="A53" s="14">
        <v>25.5</v>
      </c>
      <c r="B53" s="14">
        <v>8</v>
      </c>
      <c r="C53" s="58">
        <f t="shared" si="0"/>
        <v>25.5</v>
      </c>
      <c r="D53" s="58">
        <f t="shared" si="1"/>
        <v>8</v>
      </c>
      <c r="E53" s="15">
        <f t="shared" ca="1" si="2"/>
        <v>4.7804878048780486</v>
      </c>
      <c r="F53" s="16" t="str">
        <f>IF(ISNUMBER(C53),IF(AND(RESULTS!$C$36&lt;=C53,C53&lt;=RESULTS!$D$36),E53,""),"")</f>
        <v/>
      </c>
      <c r="G53" s="16" t="str">
        <f t="shared" ca="1" si="3"/>
        <v/>
      </c>
      <c r="H53" s="16" t="str">
        <f>IF(ISNUMBER(C53),IF(AND(RESULTS!$C$37&lt;=C53,C53&lt;=RESULTS!$D$37),E53,""),"")</f>
        <v/>
      </c>
      <c r="I53" s="16" t="str">
        <f t="shared" ca="1" si="4"/>
        <v/>
      </c>
      <c r="J53" s="16" t="str">
        <f>IF(ISNUMBER(C53),IF(AND(RESULTS!$C$38&lt;=C53,C53&lt;=RESULTS!$D$38),E53,""),"")</f>
        <v/>
      </c>
      <c r="K53" s="16" t="str">
        <f t="shared" ca="1" si="5"/>
        <v/>
      </c>
      <c r="L53" s="16" t="str">
        <f>IF(ISNUMBER(C53),IF(AND(RESULTS!$C$39&lt;=C53,C53&lt;=RESULTS!$D$39),E53,""),"")</f>
        <v/>
      </c>
      <c r="M53" s="16" t="str">
        <f t="shared" ca="1" si="6"/>
        <v/>
      </c>
      <c r="N53" s="16" t="str">
        <f>IF(ISNUMBER(C53),IF(AND(RESULTS!$C$40&lt;=C53,C53&lt;=RESULTS!$D$40),E53,""),"")</f>
        <v/>
      </c>
      <c r="O53" s="16" t="str">
        <f t="shared" ca="1" si="7"/>
        <v/>
      </c>
    </row>
    <row r="54" spans="1:15" x14ac:dyDescent="0.25">
      <c r="A54" s="14">
        <v>26</v>
      </c>
      <c r="B54" s="14">
        <v>6</v>
      </c>
      <c r="C54" s="58">
        <f t="shared" si="0"/>
        <v>26</v>
      </c>
      <c r="D54" s="58">
        <f t="shared" si="1"/>
        <v>6</v>
      </c>
      <c r="E54" s="15">
        <f t="shared" ca="1" si="2"/>
        <v>2.7804878048780486</v>
      </c>
      <c r="F54" s="16" t="str">
        <f>IF(ISNUMBER(C54),IF(AND(RESULTS!$C$36&lt;=C54,C54&lt;=RESULTS!$D$36),E54,""),"")</f>
        <v/>
      </c>
      <c r="G54" s="16" t="str">
        <f t="shared" ca="1" si="3"/>
        <v/>
      </c>
      <c r="H54" s="16" t="str">
        <f>IF(ISNUMBER(C54),IF(AND(RESULTS!$C$37&lt;=C54,C54&lt;=RESULTS!$D$37),E54,""),"")</f>
        <v/>
      </c>
      <c r="I54" s="16" t="str">
        <f t="shared" ca="1" si="4"/>
        <v/>
      </c>
      <c r="J54" s="16" t="str">
        <f>IF(ISNUMBER(C54),IF(AND(RESULTS!$C$38&lt;=C54,C54&lt;=RESULTS!$D$38),E54,""),"")</f>
        <v/>
      </c>
      <c r="K54" s="16" t="str">
        <f t="shared" ca="1" si="5"/>
        <v/>
      </c>
      <c r="L54" s="16" t="str">
        <f>IF(ISNUMBER(C54),IF(AND(RESULTS!$C$39&lt;=C54,C54&lt;=RESULTS!$D$39),E54,""),"")</f>
        <v/>
      </c>
      <c r="M54" s="16" t="str">
        <f t="shared" ca="1" si="6"/>
        <v/>
      </c>
      <c r="N54" s="16" t="str">
        <f>IF(ISNUMBER(C54),IF(AND(RESULTS!$C$40&lt;=C54,C54&lt;=RESULTS!$D$40),E54,""),"")</f>
        <v/>
      </c>
      <c r="O54" s="16" t="str">
        <f t="shared" ca="1" si="7"/>
        <v/>
      </c>
    </row>
    <row r="55" spans="1:15" x14ac:dyDescent="0.25">
      <c r="A55" s="14">
        <v>26.5</v>
      </c>
      <c r="B55" s="14">
        <v>4</v>
      </c>
      <c r="C55" s="58">
        <f t="shared" si="0"/>
        <v>26.5</v>
      </c>
      <c r="D55" s="58">
        <f t="shared" si="1"/>
        <v>4</v>
      </c>
      <c r="E55" s="15">
        <f t="shared" ca="1" si="2"/>
        <v>0.78048780487804859</v>
      </c>
      <c r="F55" s="16" t="str">
        <f>IF(ISNUMBER(C55),IF(AND(RESULTS!$C$36&lt;=C55,C55&lt;=RESULTS!$D$36),E55,""),"")</f>
        <v/>
      </c>
      <c r="G55" s="16" t="str">
        <f t="shared" ca="1" si="3"/>
        <v/>
      </c>
      <c r="H55" s="16" t="str">
        <f>IF(ISNUMBER(C55),IF(AND(RESULTS!$C$37&lt;=C55,C55&lt;=RESULTS!$D$37),E55,""),"")</f>
        <v/>
      </c>
      <c r="I55" s="16" t="str">
        <f t="shared" ca="1" si="4"/>
        <v/>
      </c>
      <c r="J55" s="16" t="str">
        <f>IF(ISNUMBER(C55),IF(AND(RESULTS!$C$38&lt;=C55,C55&lt;=RESULTS!$D$38),E55,""),"")</f>
        <v/>
      </c>
      <c r="K55" s="16" t="str">
        <f t="shared" ca="1" si="5"/>
        <v/>
      </c>
      <c r="L55" s="16" t="str">
        <f>IF(ISNUMBER(C55),IF(AND(RESULTS!$C$39&lt;=C55,C55&lt;=RESULTS!$D$39),E55,""),"")</f>
        <v/>
      </c>
      <c r="M55" s="16" t="str">
        <f t="shared" ca="1" si="6"/>
        <v/>
      </c>
      <c r="N55" s="16" t="str">
        <f>IF(ISNUMBER(C55),IF(AND(RESULTS!$C$40&lt;=C55,C55&lt;=RESULTS!$D$40),E55,""),"")</f>
        <v/>
      </c>
      <c r="O55" s="16" t="str">
        <f t="shared" ca="1" si="7"/>
        <v/>
      </c>
    </row>
    <row r="56" spans="1:15" x14ac:dyDescent="0.25">
      <c r="A56" s="14">
        <v>27</v>
      </c>
      <c r="B56" s="14">
        <v>2</v>
      </c>
      <c r="C56" s="58">
        <f t="shared" si="0"/>
        <v>27</v>
      </c>
      <c r="D56" s="58">
        <f t="shared" si="1"/>
        <v>2</v>
      </c>
      <c r="E56" s="15">
        <f t="shared" ca="1" si="2"/>
        <v>0</v>
      </c>
      <c r="F56" s="16" t="str">
        <f>IF(ISNUMBER(C56),IF(AND(RESULTS!$C$36&lt;=C56,C56&lt;=RESULTS!$D$36),E56,""),"")</f>
        <v/>
      </c>
      <c r="G56" s="16" t="str">
        <f t="shared" ca="1" si="3"/>
        <v/>
      </c>
      <c r="H56" s="16" t="str">
        <f>IF(ISNUMBER(C56),IF(AND(RESULTS!$C$37&lt;=C56,C56&lt;=RESULTS!$D$37),E56,""),"")</f>
        <v/>
      </c>
      <c r="I56" s="16" t="str">
        <f t="shared" ca="1" si="4"/>
        <v/>
      </c>
      <c r="J56" s="16" t="str">
        <f>IF(ISNUMBER(C56),IF(AND(RESULTS!$C$38&lt;=C56,C56&lt;=RESULTS!$D$38),E56,""),"")</f>
        <v/>
      </c>
      <c r="K56" s="16" t="str">
        <f t="shared" ca="1" si="5"/>
        <v/>
      </c>
      <c r="L56" s="16" t="str">
        <f>IF(ISNUMBER(C56),IF(AND(RESULTS!$C$39&lt;=C56,C56&lt;=RESULTS!$D$39),E56,""),"")</f>
        <v/>
      </c>
      <c r="M56" s="16" t="str">
        <f t="shared" ca="1" si="6"/>
        <v/>
      </c>
      <c r="N56" s="16" t="str">
        <f>IF(ISNUMBER(C56),IF(AND(RESULTS!$C$40&lt;=C56,C56&lt;=RESULTS!$D$40),E56,""),"")</f>
        <v/>
      </c>
      <c r="O56" s="16" t="str">
        <f t="shared" ca="1" si="7"/>
        <v/>
      </c>
    </row>
    <row r="57" spans="1:15" x14ac:dyDescent="0.25">
      <c r="A57" s="14">
        <v>27.5</v>
      </c>
      <c r="B57" s="14">
        <v>4</v>
      </c>
      <c r="C57" s="58">
        <f t="shared" si="0"/>
        <v>27.5</v>
      </c>
      <c r="D57" s="58">
        <f t="shared" si="1"/>
        <v>4</v>
      </c>
      <c r="E57" s="15">
        <f t="shared" ca="1" si="2"/>
        <v>0.78048780487804859</v>
      </c>
      <c r="F57" s="16" t="str">
        <f>IF(ISNUMBER(C57),IF(AND(RESULTS!$C$36&lt;=C57,C57&lt;=RESULTS!$D$36),E57,""),"")</f>
        <v/>
      </c>
      <c r="G57" s="16" t="str">
        <f t="shared" ca="1" si="3"/>
        <v/>
      </c>
      <c r="H57" s="16" t="str">
        <f>IF(ISNUMBER(C57),IF(AND(RESULTS!$C$37&lt;=C57,C57&lt;=RESULTS!$D$37),E57,""),"")</f>
        <v/>
      </c>
      <c r="I57" s="16" t="str">
        <f t="shared" ca="1" si="4"/>
        <v/>
      </c>
      <c r="J57" s="16" t="str">
        <f>IF(ISNUMBER(C57),IF(AND(RESULTS!$C$38&lt;=C57,C57&lt;=RESULTS!$D$38),E57,""),"")</f>
        <v/>
      </c>
      <c r="K57" s="16" t="str">
        <f t="shared" ca="1" si="5"/>
        <v/>
      </c>
      <c r="L57" s="16" t="str">
        <f>IF(ISNUMBER(C57),IF(AND(RESULTS!$C$39&lt;=C57,C57&lt;=RESULTS!$D$39),E57,""),"")</f>
        <v/>
      </c>
      <c r="M57" s="16" t="str">
        <f t="shared" ca="1" si="6"/>
        <v/>
      </c>
      <c r="N57" s="16" t="str">
        <f>IF(ISNUMBER(C57),IF(AND(RESULTS!$C$40&lt;=C57,C57&lt;=RESULTS!$D$40),E57,""),"")</f>
        <v/>
      </c>
      <c r="O57" s="16" t="str">
        <f t="shared" ca="1" si="7"/>
        <v/>
      </c>
    </row>
    <row r="58" spans="1:15" x14ac:dyDescent="0.25">
      <c r="A58" s="14">
        <v>28</v>
      </c>
      <c r="B58" s="14">
        <v>8</v>
      </c>
      <c r="C58" s="58">
        <f t="shared" si="0"/>
        <v>28</v>
      </c>
      <c r="D58" s="58">
        <f t="shared" si="1"/>
        <v>8</v>
      </c>
      <c r="E58" s="15">
        <f t="shared" ca="1" si="2"/>
        <v>4.7804878048780486</v>
      </c>
      <c r="F58" s="16" t="str">
        <f>IF(ISNUMBER(C58),IF(AND(RESULTS!$C$36&lt;=C58,C58&lt;=RESULTS!$D$36),E58,""),"")</f>
        <v/>
      </c>
      <c r="G58" s="16" t="str">
        <f t="shared" ca="1" si="3"/>
        <v/>
      </c>
      <c r="H58" s="16" t="str">
        <f>IF(ISNUMBER(C58),IF(AND(RESULTS!$C$37&lt;=C58,C58&lt;=RESULTS!$D$37),E58,""),"")</f>
        <v/>
      </c>
      <c r="I58" s="16" t="str">
        <f t="shared" ca="1" si="4"/>
        <v/>
      </c>
      <c r="J58" s="16" t="str">
        <f>IF(ISNUMBER(C58),IF(AND(RESULTS!$C$38&lt;=C58,C58&lt;=RESULTS!$D$38),E58,""),"")</f>
        <v/>
      </c>
      <c r="K58" s="16" t="str">
        <f t="shared" ca="1" si="5"/>
        <v/>
      </c>
      <c r="L58" s="16" t="str">
        <f>IF(ISNUMBER(C58),IF(AND(RESULTS!$C$39&lt;=C58,C58&lt;=RESULTS!$D$39),E58,""),"")</f>
        <v/>
      </c>
      <c r="M58" s="16" t="str">
        <f t="shared" ca="1" si="6"/>
        <v/>
      </c>
      <c r="N58" s="16" t="str">
        <f>IF(ISNUMBER(C58),IF(AND(RESULTS!$C$40&lt;=C58,C58&lt;=RESULTS!$D$40),E58,""),"")</f>
        <v/>
      </c>
      <c r="O58" s="16" t="str">
        <f t="shared" ca="1" si="7"/>
        <v/>
      </c>
    </row>
    <row r="59" spans="1:15" x14ac:dyDescent="0.25">
      <c r="A59" s="14">
        <v>28.5</v>
      </c>
      <c r="B59" s="14">
        <v>7</v>
      </c>
      <c r="C59" s="58">
        <f t="shared" si="0"/>
        <v>28.5</v>
      </c>
      <c r="D59" s="58">
        <f t="shared" si="1"/>
        <v>7</v>
      </c>
      <c r="E59" s="15">
        <f t="shared" ca="1" si="2"/>
        <v>3.7804878048780486</v>
      </c>
      <c r="F59" s="16" t="str">
        <f>IF(ISNUMBER(C59),IF(AND(RESULTS!$C$36&lt;=C59,C59&lt;=RESULTS!$D$36),E59,""),"")</f>
        <v/>
      </c>
      <c r="G59" s="16" t="str">
        <f t="shared" ca="1" si="3"/>
        <v/>
      </c>
      <c r="H59" s="16" t="str">
        <f>IF(ISNUMBER(C59),IF(AND(RESULTS!$C$37&lt;=C59,C59&lt;=RESULTS!$D$37),E59,""),"")</f>
        <v/>
      </c>
      <c r="I59" s="16" t="str">
        <f t="shared" ca="1" si="4"/>
        <v/>
      </c>
      <c r="J59" s="16" t="str">
        <f>IF(ISNUMBER(C59),IF(AND(RESULTS!$C$38&lt;=C59,C59&lt;=RESULTS!$D$38),E59,""),"")</f>
        <v/>
      </c>
      <c r="K59" s="16" t="str">
        <f t="shared" ca="1" si="5"/>
        <v/>
      </c>
      <c r="L59" s="16" t="str">
        <f>IF(ISNUMBER(C59),IF(AND(RESULTS!$C$39&lt;=C59,C59&lt;=RESULTS!$D$39),E59,""),"")</f>
        <v/>
      </c>
      <c r="M59" s="16" t="str">
        <f t="shared" ca="1" si="6"/>
        <v/>
      </c>
      <c r="N59" s="16" t="str">
        <f>IF(ISNUMBER(C59),IF(AND(RESULTS!$C$40&lt;=C59,C59&lt;=RESULTS!$D$40),E59,""),"")</f>
        <v/>
      </c>
      <c r="O59" s="16" t="str">
        <f t="shared" ca="1" si="7"/>
        <v/>
      </c>
    </row>
    <row r="60" spans="1:15" x14ac:dyDescent="0.25">
      <c r="A60" s="14">
        <v>29</v>
      </c>
      <c r="B60" s="14">
        <v>3</v>
      </c>
      <c r="C60" s="58">
        <f t="shared" si="0"/>
        <v>29</v>
      </c>
      <c r="D60" s="58">
        <f t="shared" si="1"/>
        <v>3</v>
      </c>
      <c r="E60" s="15">
        <f t="shared" ca="1" si="2"/>
        <v>0</v>
      </c>
      <c r="F60" s="16" t="str">
        <f>IF(ISNUMBER(C60),IF(AND(RESULTS!$C$36&lt;=C60,C60&lt;=RESULTS!$D$36),E60,""),"")</f>
        <v/>
      </c>
      <c r="G60" s="16" t="str">
        <f t="shared" ca="1" si="3"/>
        <v/>
      </c>
      <c r="H60" s="16" t="str">
        <f>IF(ISNUMBER(C60),IF(AND(RESULTS!$C$37&lt;=C60,C60&lt;=RESULTS!$D$37),E60,""),"")</f>
        <v/>
      </c>
      <c r="I60" s="16" t="str">
        <f t="shared" ca="1" si="4"/>
        <v/>
      </c>
      <c r="J60" s="16" t="str">
        <f>IF(ISNUMBER(C60),IF(AND(RESULTS!$C$38&lt;=C60,C60&lt;=RESULTS!$D$38),E60,""),"")</f>
        <v/>
      </c>
      <c r="K60" s="16" t="str">
        <f t="shared" ca="1" si="5"/>
        <v/>
      </c>
      <c r="L60" s="16" t="str">
        <f>IF(ISNUMBER(C60),IF(AND(RESULTS!$C$39&lt;=C60,C60&lt;=RESULTS!$D$39),E60,""),"")</f>
        <v/>
      </c>
      <c r="M60" s="16" t="str">
        <f t="shared" ca="1" si="6"/>
        <v/>
      </c>
      <c r="N60" s="16" t="str">
        <f>IF(ISNUMBER(C60),IF(AND(RESULTS!$C$40&lt;=C60,C60&lt;=RESULTS!$D$40),E60,""),"")</f>
        <v/>
      </c>
      <c r="O60" s="16" t="str">
        <f t="shared" ca="1" si="7"/>
        <v/>
      </c>
    </row>
    <row r="61" spans="1:15" x14ac:dyDescent="0.25">
      <c r="A61" s="14">
        <v>29.5</v>
      </c>
      <c r="B61" s="14">
        <v>4</v>
      </c>
      <c r="C61" s="58">
        <f t="shared" si="0"/>
        <v>29.5</v>
      </c>
      <c r="D61" s="58">
        <f t="shared" si="1"/>
        <v>4</v>
      </c>
      <c r="E61" s="15">
        <f t="shared" ca="1" si="2"/>
        <v>0.78048780487804859</v>
      </c>
      <c r="F61" s="16" t="str">
        <f>IF(ISNUMBER(C61),IF(AND(RESULTS!$C$36&lt;=C61,C61&lt;=RESULTS!$D$36),E61,""),"")</f>
        <v/>
      </c>
      <c r="G61" s="16" t="str">
        <f t="shared" ca="1" si="3"/>
        <v/>
      </c>
      <c r="H61" s="16" t="str">
        <f>IF(ISNUMBER(C61),IF(AND(RESULTS!$C$37&lt;=C61,C61&lt;=RESULTS!$D$37),E61,""),"")</f>
        <v/>
      </c>
      <c r="I61" s="16" t="str">
        <f t="shared" ca="1" si="4"/>
        <v/>
      </c>
      <c r="J61" s="16" t="str">
        <f>IF(ISNUMBER(C61),IF(AND(RESULTS!$C$38&lt;=C61,C61&lt;=RESULTS!$D$38),E61,""),"")</f>
        <v/>
      </c>
      <c r="K61" s="16" t="str">
        <f t="shared" ca="1" si="5"/>
        <v/>
      </c>
      <c r="L61" s="16" t="str">
        <f>IF(ISNUMBER(C61),IF(AND(RESULTS!$C$39&lt;=C61,C61&lt;=RESULTS!$D$39),E61,""),"")</f>
        <v/>
      </c>
      <c r="M61" s="16" t="str">
        <f t="shared" ca="1" si="6"/>
        <v/>
      </c>
      <c r="N61" s="16" t="str">
        <f>IF(ISNUMBER(C61),IF(AND(RESULTS!$C$40&lt;=C61,C61&lt;=RESULTS!$D$40),E61,""),"")</f>
        <v/>
      </c>
      <c r="O61" s="16" t="str">
        <f t="shared" ca="1" si="7"/>
        <v/>
      </c>
    </row>
    <row r="62" spans="1:15" x14ac:dyDescent="0.25">
      <c r="A62" s="14">
        <v>30</v>
      </c>
      <c r="B62" s="14">
        <v>4</v>
      </c>
      <c r="C62" s="58">
        <f t="shared" si="0"/>
        <v>30</v>
      </c>
      <c r="D62" s="58">
        <f t="shared" si="1"/>
        <v>4</v>
      </c>
      <c r="E62" s="15">
        <f t="shared" ca="1" si="2"/>
        <v>0.78048780487804859</v>
      </c>
      <c r="F62" s="16" t="str">
        <f>IF(ISNUMBER(C62),IF(AND(RESULTS!$C$36&lt;=C62,C62&lt;=RESULTS!$D$36),E62,""),"")</f>
        <v/>
      </c>
      <c r="G62" s="16" t="str">
        <f t="shared" ca="1" si="3"/>
        <v/>
      </c>
      <c r="H62" s="16" t="str">
        <f>IF(ISNUMBER(C62),IF(AND(RESULTS!$C$37&lt;=C62,C62&lt;=RESULTS!$D$37),E62,""),"")</f>
        <v/>
      </c>
      <c r="I62" s="16" t="str">
        <f t="shared" ca="1" si="4"/>
        <v/>
      </c>
      <c r="J62" s="16" t="str">
        <f>IF(ISNUMBER(C62),IF(AND(RESULTS!$C$38&lt;=C62,C62&lt;=RESULTS!$D$38),E62,""),"")</f>
        <v/>
      </c>
      <c r="K62" s="16" t="str">
        <f t="shared" ca="1" si="5"/>
        <v/>
      </c>
      <c r="L62" s="16" t="str">
        <f>IF(ISNUMBER(C62),IF(AND(RESULTS!$C$39&lt;=C62,C62&lt;=RESULTS!$D$39),E62,""),"")</f>
        <v/>
      </c>
      <c r="M62" s="16" t="str">
        <f t="shared" ca="1" si="6"/>
        <v/>
      </c>
      <c r="N62" s="16" t="str">
        <f>IF(ISNUMBER(C62),IF(AND(RESULTS!$C$40&lt;=C62,C62&lt;=RESULTS!$D$40),E62,""),"")</f>
        <v/>
      </c>
      <c r="O62" s="16" t="str">
        <f t="shared" ca="1" si="7"/>
        <v/>
      </c>
    </row>
    <row r="63" spans="1:15" x14ac:dyDescent="0.25">
      <c r="A63" s="14">
        <v>30.5</v>
      </c>
      <c r="B63" s="14">
        <v>3</v>
      </c>
      <c r="C63" s="58">
        <f t="shared" si="0"/>
        <v>30.5</v>
      </c>
      <c r="D63" s="58">
        <f t="shared" si="1"/>
        <v>3</v>
      </c>
      <c r="E63" s="15">
        <f t="shared" ca="1" si="2"/>
        <v>0</v>
      </c>
      <c r="F63" s="16" t="str">
        <f>IF(ISNUMBER(C63),IF(AND(RESULTS!$C$36&lt;=C63,C63&lt;=RESULTS!$D$36),E63,""),"")</f>
        <v/>
      </c>
      <c r="G63" s="16" t="str">
        <f t="shared" ca="1" si="3"/>
        <v/>
      </c>
      <c r="H63" s="16" t="str">
        <f>IF(ISNUMBER(C63),IF(AND(RESULTS!$C$37&lt;=C63,C63&lt;=RESULTS!$D$37),E63,""),"")</f>
        <v/>
      </c>
      <c r="I63" s="16" t="str">
        <f t="shared" ca="1" si="4"/>
        <v/>
      </c>
      <c r="J63" s="16" t="str">
        <f>IF(ISNUMBER(C63),IF(AND(RESULTS!$C$38&lt;=C63,C63&lt;=RESULTS!$D$38),E63,""),"")</f>
        <v/>
      </c>
      <c r="K63" s="16" t="str">
        <f t="shared" ca="1" si="5"/>
        <v/>
      </c>
      <c r="L63" s="16" t="str">
        <f>IF(ISNUMBER(C63),IF(AND(RESULTS!$C$39&lt;=C63,C63&lt;=RESULTS!$D$39),E63,""),"")</f>
        <v/>
      </c>
      <c r="M63" s="16" t="str">
        <f t="shared" ca="1" si="6"/>
        <v/>
      </c>
      <c r="N63" s="16" t="str">
        <f>IF(ISNUMBER(C63),IF(AND(RESULTS!$C$40&lt;=C63,C63&lt;=RESULTS!$D$40),E63,""),"")</f>
        <v/>
      </c>
      <c r="O63" s="16" t="str">
        <f t="shared" ca="1" si="7"/>
        <v/>
      </c>
    </row>
    <row r="64" spans="1:15" x14ac:dyDescent="0.25">
      <c r="A64" s="14">
        <v>31</v>
      </c>
      <c r="B64" s="14">
        <v>2</v>
      </c>
      <c r="C64" s="58">
        <f t="shared" si="0"/>
        <v>31</v>
      </c>
      <c r="D64" s="58">
        <f t="shared" si="1"/>
        <v>2</v>
      </c>
      <c r="E64" s="15">
        <f t="shared" ca="1" si="2"/>
        <v>0</v>
      </c>
      <c r="F64" s="16" t="str">
        <f>IF(ISNUMBER(C64),IF(AND(RESULTS!$C$36&lt;=C64,C64&lt;=RESULTS!$D$36),E64,""),"")</f>
        <v/>
      </c>
      <c r="G64" s="16" t="str">
        <f t="shared" ca="1" si="3"/>
        <v/>
      </c>
      <c r="H64" s="16" t="str">
        <f>IF(ISNUMBER(C64),IF(AND(RESULTS!$C$37&lt;=C64,C64&lt;=RESULTS!$D$37),E64,""),"")</f>
        <v/>
      </c>
      <c r="I64" s="16" t="str">
        <f t="shared" ca="1" si="4"/>
        <v/>
      </c>
      <c r="J64" s="16" t="str">
        <f>IF(ISNUMBER(C64),IF(AND(RESULTS!$C$38&lt;=C64,C64&lt;=RESULTS!$D$38),E64,""),"")</f>
        <v/>
      </c>
      <c r="K64" s="16" t="str">
        <f t="shared" ca="1" si="5"/>
        <v/>
      </c>
      <c r="L64" s="16" t="str">
        <f>IF(ISNUMBER(C64),IF(AND(RESULTS!$C$39&lt;=C64,C64&lt;=RESULTS!$D$39),E64,""),"")</f>
        <v/>
      </c>
      <c r="M64" s="16" t="str">
        <f t="shared" ca="1" si="6"/>
        <v/>
      </c>
      <c r="N64" s="16" t="str">
        <f>IF(ISNUMBER(C64),IF(AND(RESULTS!$C$40&lt;=C64,C64&lt;=RESULTS!$D$40),E64,""),"")</f>
        <v/>
      </c>
      <c r="O64" s="16" t="str">
        <f t="shared" ca="1" si="7"/>
        <v/>
      </c>
    </row>
    <row r="65" spans="1:15" x14ac:dyDescent="0.25">
      <c r="A65" s="14">
        <v>31.5</v>
      </c>
      <c r="B65" s="14">
        <v>6</v>
      </c>
      <c r="C65" s="58">
        <f t="shared" si="0"/>
        <v>31.5</v>
      </c>
      <c r="D65" s="58">
        <f t="shared" si="1"/>
        <v>6</v>
      </c>
      <c r="E65" s="15">
        <f t="shared" ca="1" si="2"/>
        <v>2.7804878048780486</v>
      </c>
      <c r="F65" s="16" t="str">
        <f>IF(ISNUMBER(C65),IF(AND(RESULTS!$C$36&lt;=C65,C65&lt;=RESULTS!$D$36),E65,""),"")</f>
        <v/>
      </c>
      <c r="G65" s="16" t="str">
        <f t="shared" ca="1" si="3"/>
        <v/>
      </c>
      <c r="H65" s="16" t="str">
        <f>IF(ISNUMBER(C65),IF(AND(RESULTS!$C$37&lt;=C65,C65&lt;=RESULTS!$D$37),E65,""),"")</f>
        <v/>
      </c>
      <c r="I65" s="16" t="str">
        <f t="shared" ca="1" si="4"/>
        <v/>
      </c>
      <c r="J65" s="16" t="str">
        <f>IF(ISNUMBER(C65),IF(AND(RESULTS!$C$38&lt;=C65,C65&lt;=RESULTS!$D$38),E65,""),"")</f>
        <v/>
      </c>
      <c r="K65" s="16" t="str">
        <f t="shared" ca="1" si="5"/>
        <v/>
      </c>
      <c r="L65" s="16" t="str">
        <f>IF(ISNUMBER(C65),IF(AND(RESULTS!$C$39&lt;=C65,C65&lt;=RESULTS!$D$39),E65,""),"")</f>
        <v/>
      </c>
      <c r="M65" s="16" t="str">
        <f t="shared" ca="1" si="6"/>
        <v/>
      </c>
      <c r="N65" s="16" t="str">
        <f>IF(ISNUMBER(C65),IF(AND(RESULTS!$C$40&lt;=C65,C65&lt;=RESULTS!$D$40),E65,""),"")</f>
        <v/>
      </c>
      <c r="O65" s="16" t="str">
        <f t="shared" ca="1" si="7"/>
        <v/>
      </c>
    </row>
    <row r="66" spans="1:15" x14ac:dyDescent="0.25">
      <c r="A66" s="14">
        <v>32</v>
      </c>
      <c r="B66" s="14">
        <v>3</v>
      </c>
      <c r="C66" s="58">
        <f t="shared" si="0"/>
        <v>32</v>
      </c>
      <c r="D66" s="58">
        <f t="shared" si="1"/>
        <v>3</v>
      </c>
      <c r="E66" s="15">
        <f t="shared" ca="1" si="2"/>
        <v>0</v>
      </c>
      <c r="F66" s="16" t="str">
        <f>IF(ISNUMBER(C66),IF(AND(RESULTS!$C$36&lt;=C66,C66&lt;=RESULTS!$D$36),E66,""),"")</f>
        <v/>
      </c>
      <c r="G66" s="16" t="str">
        <f t="shared" ca="1" si="3"/>
        <v/>
      </c>
      <c r="H66" s="16" t="str">
        <f>IF(ISNUMBER(C66),IF(AND(RESULTS!$C$37&lt;=C66,C66&lt;=RESULTS!$D$37),E66,""),"")</f>
        <v/>
      </c>
      <c r="I66" s="16" t="str">
        <f t="shared" ca="1" si="4"/>
        <v/>
      </c>
      <c r="J66" s="16" t="str">
        <f>IF(ISNUMBER(C66),IF(AND(RESULTS!$C$38&lt;=C66,C66&lt;=RESULTS!$D$38),E66,""),"")</f>
        <v/>
      </c>
      <c r="K66" s="16" t="str">
        <f t="shared" ca="1" si="5"/>
        <v/>
      </c>
      <c r="L66" s="16" t="str">
        <f>IF(ISNUMBER(C66),IF(AND(RESULTS!$C$39&lt;=C66,C66&lt;=RESULTS!$D$39),E66,""),"")</f>
        <v/>
      </c>
      <c r="M66" s="16" t="str">
        <f t="shared" ca="1" si="6"/>
        <v/>
      </c>
      <c r="N66" s="16" t="str">
        <f>IF(ISNUMBER(C66),IF(AND(RESULTS!$C$40&lt;=C66,C66&lt;=RESULTS!$D$40),E66,""),"")</f>
        <v/>
      </c>
      <c r="O66" s="16" t="str">
        <f t="shared" ca="1" si="7"/>
        <v/>
      </c>
    </row>
    <row r="67" spans="1:15" x14ac:dyDescent="0.25">
      <c r="A67" s="14">
        <v>32.5</v>
      </c>
      <c r="B67" s="14">
        <v>2</v>
      </c>
      <c r="C67" s="58">
        <f t="shared" ref="C67:C130" si="8">IF(ISNUMBER(A67),A67,NA())</f>
        <v>32.5</v>
      </c>
      <c r="D67" s="58">
        <f t="shared" ref="D67:D130" si="9">IF(ISNUMBER(B67),B67,NA())</f>
        <v>2</v>
      </c>
      <c r="E67" s="15">
        <f t="shared" ref="E67:E130" ca="1" si="10">IF(ISNUMBER(C67),IF($R$2&gt;D67,0,D67-$R$2),"")</f>
        <v>0</v>
      </c>
      <c r="F67" s="16" t="str">
        <f>IF(ISNUMBER(C67),IF(AND(RESULTS!$C$36&lt;=C67,C67&lt;=RESULTS!$D$36),E67,""),"")</f>
        <v/>
      </c>
      <c r="G67" s="16" t="str">
        <f t="shared" ref="G67:G130" ca="1" si="11">IF(AND(F67&lt;&gt;"",F67&gt;=MAX(F:F)/2),C67,"")</f>
        <v/>
      </c>
      <c r="H67" s="16" t="str">
        <f>IF(ISNUMBER(C67),IF(AND(RESULTS!$C$37&lt;=C67,C67&lt;=RESULTS!$D$37),E67,""),"")</f>
        <v/>
      </c>
      <c r="I67" s="16" t="str">
        <f t="shared" ref="I67:I130" ca="1" si="12">IF(AND(H67&lt;&gt;"",H67&gt;=MAX(H:H)/2),C67,"")</f>
        <v/>
      </c>
      <c r="J67" s="16" t="str">
        <f>IF(ISNUMBER(C67),IF(AND(RESULTS!$C$38&lt;=C67,C67&lt;=RESULTS!$D$38),E67,""),"")</f>
        <v/>
      </c>
      <c r="K67" s="16" t="str">
        <f t="shared" ref="K67:K130" ca="1" si="13">IF(AND(J67&lt;&gt;"",J67&gt;=MAX(J:J)/2),C67,"")</f>
        <v/>
      </c>
      <c r="L67" s="16" t="str">
        <f>IF(ISNUMBER(C67),IF(AND(RESULTS!$C$39&lt;=C67,C67&lt;=RESULTS!$D$39),E67,""),"")</f>
        <v/>
      </c>
      <c r="M67" s="16" t="str">
        <f t="shared" ref="M67:M130" ca="1" si="14">IF(AND(L67&lt;&gt;"",L67&gt;=MAX(L:L)/2),C67,"")</f>
        <v/>
      </c>
      <c r="N67" s="16" t="str">
        <f>IF(ISNUMBER(C67),IF(AND(RESULTS!$C$40&lt;=C67,C67&lt;=RESULTS!$D$40),E67,""),"")</f>
        <v/>
      </c>
      <c r="O67" s="16" t="str">
        <f t="shared" ref="O67:O130" ca="1" si="15">IF(AND(N67&lt;&gt;"",N67&gt;=MAX(N:N)/2),C67,"")</f>
        <v/>
      </c>
    </row>
    <row r="68" spans="1:15" x14ac:dyDescent="0.25">
      <c r="A68" s="14">
        <v>33</v>
      </c>
      <c r="B68" s="14">
        <v>1</v>
      </c>
      <c r="C68" s="58">
        <f t="shared" si="8"/>
        <v>33</v>
      </c>
      <c r="D68" s="58">
        <f t="shared" si="9"/>
        <v>1</v>
      </c>
      <c r="E68" s="15">
        <f t="shared" ca="1" si="10"/>
        <v>0</v>
      </c>
      <c r="F68" s="16" t="str">
        <f>IF(ISNUMBER(C68),IF(AND(RESULTS!$C$36&lt;=C68,C68&lt;=RESULTS!$D$36),E68,""),"")</f>
        <v/>
      </c>
      <c r="G68" s="16" t="str">
        <f t="shared" ca="1" si="11"/>
        <v/>
      </c>
      <c r="H68" s="16" t="str">
        <f>IF(ISNUMBER(C68),IF(AND(RESULTS!$C$37&lt;=C68,C68&lt;=RESULTS!$D$37),E68,""),"")</f>
        <v/>
      </c>
      <c r="I68" s="16" t="str">
        <f t="shared" ca="1" si="12"/>
        <v/>
      </c>
      <c r="J68" s="16" t="str">
        <f>IF(ISNUMBER(C68),IF(AND(RESULTS!$C$38&lt;=C68,C68&lt;=RESULTS!$D$38),E68,""),"")</f>
        <v/>
      </c>
      <c r="K68" s="16" t="str">
        <f t="shared" ca="1" si="13"/>
        <v/>
      </c>
      <c r="L68" s="16" t="str">
        <f>IF(ISNUMBER(C68),IF(AND(RESULTS!$C$39&lt;=C68,C68&lt;=RESULTS!$D$39),E68,""),"")</f>
        <v/>
      </c>
      <c r="M68" s="16" t="str">
        <f t="shared" ca="1" si="14"/>
        <v/>
      </c>
      <c r="N68" s="16" t="str">
        <f>IF(ISNUMBER(C68),IF(AND(RESULTS!$C$40&lt;=C68,C68&lt;=RESULTS!$D$40),E68,""),"")</f>
        <v/>
      </c>
      <c r="O68" s="16" t="str">
        <f t="shared" ca="1" si="15"/>
        <v/>
      </c>
    </row>
    <row r="69" spans="1:15" x14ac:dyDescent="0.25">
      <c r="A69" s="14">
        <v>33.5</v>
      </c>
      <c r="B69" s="14">
        <v>4</v>
      </c>
      <c r="C69" s="58">
        <f t="shared" si="8"/>
        <v>33.5</v>
      </c>
      <c r="D69" s="58">
        <f t="shared" si="9"/>
        <v>4</v>
      </c>
      <c r="E69" s="15">
        <f t="shared" ca="1" si="10"/>
        <v>0.78048780487804859</v>
      </c>
      <c r="F69" s="16" t="str">
        <f>IF(ISNUMBER(C69),IF(AND(RESULTS!$C$36&lt;=C69,C69&lt;=RESULTS!$D$36),E69,""),"")</f>
        <v/>
      </c>
      <c r="G69" s="16" t="str">
        <f t="shared" ca="1" si="11"/>
        <v/>
      </c>
      <c r="H69" s="16" t="str">
        <f>IF(ISNUMBER(C69),IF(AND(RESULTS!$C$37&lt;=C69,C69&lt;=RESULTS!$D$37),E69,""),"")</f>
        <v/>
      </c>
      <c r="I69" s="16" t="str">
        <f t="shared" ca="1" si="12"/>
        <v/>
      </c>
      <c r="J69" s="16" t="str">
        <f>IF(ISNUMBER(C69),IF(AND(RESULTS!$C$38&lt;=C69,C69&lt;=RESULTS!$D$38),E69,""),"")</f>
        <v/>
      </c>
      <c r="K69" s="16" t="str">
        <f t="shared" ca="1" si="13"/>
        <v/>
      </c>
      <c r="L69" s="16" t="str">
        <f>IF(ISNUMBER(C69),IF(AND(RESULTS!$C$39&lt;=C69,C69&lt;=RESULTS!$D$39),E69,""),"")</f>
        <v/>
      </c>
      <c r="M69" s="16" t="str">
        <f t="shared" ca="1" si="14"/>
        <v/>
      </c>
      <c r="N69" s="16" t="str">
        <f>IF(ISNUMBER(C69),IF(AND(RESULTS!$C$40&lt;=C69,C69&lt;=RESULTS!$D$40),E69,""),"")</f>
        <v/>
      </c>
      <c r="O69" s="16" t="str">
        <f t="shared" ca="1" si="15"/>
        <v/>
      </c>
    </row>
    <row r="70" spans="1:15" x14ac:dyDescent="0.25">
      <c r="A70" s="14">
        <v>34</v>
      </c>
      <c r="B70" s="14">
        <v>2</v>
      </c>
      <c r="C70" s="58">
        <f t="shared" si="8"/>
        <v>34</v>
      </c>
      <c r="D70" s="58">
        <f t="shared" si="9"/>
        <v>2</v>
      </c>
      <c r="E70" s="15">
        <f t="shared" ca="1" si="10"/>
        <v>0</v>
      </c>
      <c r="F70" s="16" t="str">
        <f>IF(ISNUMBER(C70),IF(AND(RESULTS!$C$36&lt;=C70,C70&lt;=RESULTS!$D$36),E70,""),"")</f>
        <v/>
      </c>
      <c r="G70" s="16" t="str">
        <f t="shared" ca="1" si="11"/>
        <v/>
      </c>
      <c r="H70" s="16" t="str">
        <f>IF(ISNUMBER(C70),IF(AND(RESULTS!$C$37&lt;=C70,C70&lt;=RESULTS!$D$37),E70,""),"")</f>
        <v/>
      </c>
      <c r="I70" s="16" t="str">
        <f t="shared" ca="1" si="12"/>
        <v/>
      </c>
      <c r="J70" s="16" t="str">
        <f>IF(ISNUMBER(C70),IF(AND(RESULTS!$C$38&lt;=C70,C70&lt;=RESULTS!$D$38),E70,""),"")</f>
        <v/>
      </c>
      <c r="K70" s="16" t="str">
        <f t="shared" ca="1" si="13"/>
        <v/>
      </c>
      <c r="L70" s="16" t="str">
        <f>IF(ISNUMBER(C70),IF(AND(RESULTS!$C$39&lt;=C70,C70&lt;=RESULTS!$D$39),E70,""),"")</f>
        <v/>
      </c>
      <c r="M70" s="16" t="str">
        <f t="shared" ca="1" si="14"/>
        <v/>
      </c>
      <c r="N70" s="16" t="str">
        <f>IF(ISNUMBER(C70),IF(AND(RESULTS!$C$40&lt;=C70,C70&lt;=RESULTS!$D$40),E70,""),"")</f>
        <v/>
      </c>
      <c r="O70" s="16" t="str">
        <f t="shared" ca="1" si="15"/>
        <v/>
      </c>
    </row>
    <row r="71" spans="1:15" x14ac:dyDescent="0.25">
      <c r="A71" s="14">
        <v>34.5</v>
      </c>
      <c r="B71" s="14">
        <v>4</v>
      </c>
      <c r="C71" s="58">
        <f t="shared" si="8"/>
        <v>34.5</v>
      </c>
      <c r="D71" s="58">
        <f t="shared" si="9"/>
        <v>4</v>
      </c>
      <c r="E71" s="15">
        <f t="shared" ca="1" si="10"/>
        <v>0.78048780487804859</v>
      </c>
      <c r="F71" s="16" t="str">
        <f>IF(ISNUMBER(C71),IF(AND(RESULTS!$C$36&lt;=C71,C71&lt;=RESULTS!$D$36),E71,""),"")</f>
        <v/>
      </c>
      <c r="G71" s="16" t="str">
        <f t="shared" ca="1" si="11"/>
        <v/>
      </c>
      <c r="H71" s="16" t="str">
        <f>IF(ISNUMBER(C71),IF(AND(RESULTS!$C$37&lt;=C71,C71&lt;=RESULTS!$D$37),E71,""),"")</f>
        <v/>
      </c>
      <c r="I71" s="16" t="str">
        <f t="shared" ca="1" si="12"/>
        <v/>
      </c>
      <c r="J71" s="16" t="str">
        <f>IF(ISNUMBER(C71),IF(AND(RESULTS!$C$38&lt;=C71,C71&lt;=RESULTS!$D$38),E71,""),"")</f>
        <v/>
      </c>
      <c r="K71" s="16" t="str">
        <f t="shared" ca="1" si="13"/>
        <v/>
      </c>
      <c r="L71" s="16" t="str">
        <f>IF(ISNUMBER(C71),IF(AND(RESULTS!$C$39&lt;=C71,C71&lt;=RESULTS!$D$39),E71,""),"")</f>
        <v/>
      </c>
      <c r="M71" s="16" t="str">
        <f t="shared" ca="1" si="14"/>
        <v/>
      </c>
      <c r="N71" s="16" t="str">
        <f>IF(ISNUMBER(C71),IF(AND(RESULTS!$C$40&lt;=C71,C71&lt;=RESULTS!$D$40),E71,""),"")</f>
        <v/>
      </c>
      <c r="O71" s="16" t="str">
        <f t="shared" ca="1" si="15"/>
        <v/>
      </c>
    </row>
    <row r="72" spans="1:15" x14ac:dyDescent="0.25">
      <c r="A72" s="14">
        <v>35</v>
      </c>
      <c r="B72" s="14">
        <v>1</v>
      </c>
      <c r="C72" s="58">
        <f t="shared" si="8"/>
        <v>35</v>
      </c>
      <c r="D72" s="58">
        <f t="shared" si="9"/>
        <v>1</v>
      </c>
      <c r="E72" s="15">
        <f t="shared" ca="1" si="10"/>
        <v>0</v>
      </c>
      <c r="F72" s="16" t="str">
        <f>IF(ISNUMBER(C72),IF(AND(RESULTS!$C$36&lt;=C72,C72&lt;=RESULTS!$D$36),E72,""),"")</f>
        <v/>
      </c>
      <c r="G72" s="16" t="str">
        <f t="shared" ca="1" si="11"/>
        <v/>
      </c>
      <c r="H72" s="16" t="str">
        <f>IF(ISNUMBER(C72),IF(AND(RESULTS!$C$37&lt;=C72,C72&lt;=RESULTS!$D$37),E72,""),"")</f>
        <v/>
      </c>
      <c r="I72" s="16" t="str">
        <f t="shared" ca="1" si="12"/>
        <v/>
      </c>
      <c r="J72" s="16" t="str">
        <f>IF(ISNUMBER(C72),IF(AND(RESULTS!$C$38&lt;=C72,C72&lt;=RESULTS!$D$38),E72,""),"")</f>
        <v/>
      </c>
      <c r="K72" s="16" t="str">
        <f t="shared" ca="1" si="13"/>
        <v/>
      </c>
      <c r="L72" s="16" t="str">
        <f>IF(ISNUMBER(C72),IF(AND(RESULTS!$C$39&lt;=C72,C72&lt;=RESULTS!$D$39),E72,""),"")</f>
        <v/>
      </c>
      <c r="M72" s="16" t="str">
        <f t="shared" ca="1" si="14"/>
        <v/>
      </c>
      <c r="N72" s="16" t="str">
        <f>IF(ISNUMBER(C72),IF(AND(RESULTS!$C$40&lt;=C72,C72&lt;=RESULTS!$D$40),E72,""),"")</f>
        <v/>
      </c>
      <c r="O72" s="16" t="str">
        <f t="shared" ca="1" si="15"/>
        <v/>
      </c>
    </row>
    <row r="73" spans="1:15" x14ac:dyDescent="0.25">
      <c r="A73" s="14">
        <v>35.5</v>
      </c>
      <c r="B73" s="14">
        <v>8</v>
      </c>
      <c r="C73" s="58">
        <f t="shared" si="8"/>
        <v>35.5</v>
      </c>
      <c r="D73" s="58">
        <f t="shared" si="9"/>
        <v>8</v>
      </c>
      <c r="E73" s="15">
        <f t="shared" ca="1" si="10"/>
        <v>4.7804878048780486</v>
      </c>
      <c r="F73" s="16" t="str">
        <f>IF(ISNUMBER(C73),IF(AND(RESULTS!$C$36&lt;=C73,C73&lt;=RESULTS!$D$36),E73,""),"")</f>
        <v/>
      </c>
      <c r="G73" s="16" t="str">
        <f t="shared" ca="1" si="11"/>
        <v/>
      </c>
      <c r="H73" s="16" t="str">
        <f>IF(ISNUMBER(C73),IF(AND(RESULTS!$C$37&lt;=C73,C73&lt;=RESULTS!$D$37),E73,""),"")</f>
        <v/>
      </c>
      <c r="I73" s="16" t="str">
        <f t="shared" ca="1" si="12"/>
        <v/>
      </c>
      <c r="J73" s="16" t="str">
        <f>IF(ISNUMBER(C73),IF(AND(RESULTS!$C$38&lt;=C73,C73&lt;=RESULTS!$D$38),E73,""),"")</f>
        <v/>
      </c>
      <c r="K73" s="16" t="str">
        <f t="shared" ca="1" si="13"/>
        <v/>
      </c>
      <c r="L73" s="16" t="str">
        <f>IF(ISNUMBER(C73),IF(AND(RESULTS!$C$39&lt;=C73,C73&lt;=RESULTS!$D$39),E73,""),"")</f>
        <v/>
      </c>
      <c r="M73" s="16" t="str">
        <f t="shared" ca="1" si="14"/>
        <v/>
      </c>
      <c r="N73" s="16" t="str">
        <f>IF(ISNUMBER(C73),IF(AND(RESULTS!$C$40&lt;=C73,C73&lt;=RESULTS!$D$40),E73,""),"")</f>
        <v/>
      </c>
      <c r="O73" s="16" t="str">
        <f t="shared" ca="1" si="15"/>
        <v/>
      </c>
    </row>
    <row r="74" spans="1:15" x14ac:dyDescent="0.25">
      <c r="A74" s="14">
        <v>36</v>
      </c>
      <c r="B74" s="14">
        <v>3</v>
      </c>
      <c r="C74" s="58">
        <f t="shared" si="8"/>
        <v>36</v>
      </c>
      <c r="D74" s="58">
        <f t="shared" si="9"/>
        <v>3</v>
      </c>
      <c r="E74" s="15">
        <f t="shared" ca="1" si="10"/>
        <v>0</v>
      </c>
      <c r="F74" s="16" t="str">
        <f>IF(ISNUMBER(C74),IF(AND(RESULTS!$C$36&lt;=C74,C74&lt;=RESULTS!$D$36),E74,""),"")</f>
        <v/>
      </c>
      <c r="G74" s="16" t="str">
        <f t="shared" ca="1" si="11"/>
        <v/>
      </c>
      <c r="H74" s="16" t="str">
        <f>IF(ISNUMBER(C74),IF(AND(RESULTS!$C$37&lt;=C74,C74&lt;=RESULTS!$D$37),E74,""),"")</f>
        <v/>
      </c>
      <c r="I74" s="16" t="str">
        <f t="shared" ca="1" si="12"/>
        <v/>
      </c>
      <c r="J74" s="16" t="str">
        <f>IF(ISNUMBER(C74),IF(AND(RESULTS!$C$38&lt;=C74,C74&lt;=RESULTS!$D$38),E74,""),"")</f>
        <v/>
      </c>
      <c r="K74" s="16" t="str">
        <f t="shared" ca="1" si="13"/>
        <v/>
      </c>
      <c r="L74" s="16" t="str">
        <f>IF(ISNUMBER(C74),IF(AND(RESULTS!$C$39&lt;=C74,C74&lt;=RESULTS!$D$39),E74,""),"")</f>
        <v/>
      </c>
      <c r="M74" s="16" t="str">
        <f t="shared" ca="1" si="14"/>
        <v/>
      </c>
      <c r="N74" s="16" t="str">
        <f>IF(ISNUMBER(C74),IF(AND(RESULTS!$C$40&lt;=C74,C74&lt;=RESULTS!$D$40),E74,""),"")</f>
        <v/>
      </c>
      <c r="O74" s="16" t="str">
        <f t="shared" ca="1" si="15"/>
        <v/>
      </c>
    </row>
    <row r="75" spans="1:15" x14ac:dyDescent="0.25">
      <c r="A75" s="14">
        <v>36.5</v>
      </c>
      <c r="B75" s="14">
        <v>3</v>
      </c>
      <c r="C75" s="58">
        <f t="shared" si="8"/>
        <v>36.5</v>
      </c>
      <c r="D75" s="58">
        <f t="shared" si="9"/>
        <v>3</v>
      </c>
      <c r="E75" s="15">
        <f t="shared" ca="1" si="10"/>
        <v>0</v>
      </c>
      <c r="F75" s="16" t="str">
        <f>IF(ISNUMBER(C75),IF(AND(RESULTS!$C$36&lt;=C75,C75&lt;=RESULTS!$D$36),E75,""),"")</f>
        <v/>
      </c>
      <c r="G75" s="16" t="str">
        <f t="shared" ca="1" si="11"/>
        <v/>
      </c>
      <c r="H75" s="16" t="str">
        <f>IF(ISNUMBER(C75),IF(AND(RESULTS!$C$37&lt;=C75,C75&lt;=RESULTS!$D$37),E75,""),"")</f>
        <v/>
      </c>
      <c r="I75" s="16" t="str">
        <f t="shared" ca="1" si="12"/>
        <v/>
      </c>
      <c r="J75" s="16" t="str">
        <f>IF(ISNUMBER(C75),IF(AND(RESULTS!$C$38&lt;=C75,C75&lt;=RESULTS!$D$38),E75,""),"")</f>
        <v/>
      </c>
      <c r="K75" s="16" t="str">
        <f t="shared" ca="1" si="13"/>
        <v/>
      </c>
      <c r="L75" s="16" t="str">
        <f>IF(ISNUMBER(C75),IF(AND(RESULTS!$C$39&lt;=C75,C75&lt;=RESULTS!$D$39),E75,""),"")</f>
        <v/>
      </c>
      <c r="M75" s="16" t="str">
        <f t="shared" ca="1" si="14"/>
        <v/>
      </c>
      <c r="N75" s="16" t="str">
        <f>IF(ISNUMBER(C75),IF(AND(RESULTS!$C$40&lt;=C75,C75&lt;=RESULTS!$D$40),E75,""),"")</f>
        <v/>
      </c>
      <c r="O75" s="16" t="str">
        <f t="shared" ca="1" si="15"/>
        <v/>
      </c>
    </row>
    <row r="76" spans="1:15" x14ac:dyDescent="0.25">
      <c r="A76" s="14">
        <v>37</v>
      </c>
      <c r="B76" s="14">
        <v>2</v>
      </c>
      <c r="C76" s="58">
        <f t="shared" si="8"/>
        <v>37</v>
      </c>
      <c r="D76" s="58">
        <f t="shared" si="9"/>
        <v>2</v>
      </c>
      <c r="E76" s="15">
        <f t="shared" ca="1" si="10"/>
        <v>0</v>
      </c>
      <c r="F76" s="16" t="str">
        <f>IF(ISNUMBER(C76),IF(AND(RESULTS!$C$36&lt;=C76,C76&lt;=RESULTS!$D$36),E76,""),"")</f>
        <v/>
      </c>
      <c r="G76" s="16" t="str">
        <f t="shared" ca="1" si="11"/>
        <v/>
      </c>
      <c r="H76" s="16" t="str">
        <f>IF(ISNUMBER(C76),IF(AND(RESULTS!$C$37&lt;=C76,C76&lt;=RESULTS!$D$37),E76,""),"")</f>
        <v/>
      </c>
      <c r="I76" s="16" t="str">
        <f t="shared" ca="1" si="12"/>
        <v/>
      </c>
      <c r="J76" s="16" t="str">
        <f>IF(ISNUMBER(C76),IF(AND(RESULTS!$C$38&lt;=C76,C76&lt;=RESULTS!$D$38),E76,""),"")</f>
        <v/>
      </c>
      <c r="K76" s="16" t="str">
        <f t="shared" ca="1" si="13"/>
        <v/>
      </c>
      <c r="L76" s="16" t="str">
        <f>IF(ISNUMBER(C76),IF(AND(RESULTS!$C$39&lt;=C76,C76&lt;=RESULTS!$D$39),E76,""),"")</f>
        <v/>
      </c>
      <c r="M76" s="16" t="str">
        <f t="shared" ca="1" si="14"/>
        <v/>
      </c>
      <c r="N76" s="16" t="str">
        <f>IF(ISNUMBER(C76),IF(AND(RESULTS!$C$40&lt;=C76,C76&lt;=RESULTS!$D$40),E76,""),"")</f>
        <v/>
      </c>
      <c r="O76" s="16" t="str">
        <f t="shared" ca="1" si="15"/>
        <v/>
      </c>
    </row>
    <row r="77" spans="1:15" x14ac:dyDescent="0.25">
      <c r="A77" s="14">
        <v>37.5</v>
      </c>
      <c r="B77" s="14">
        <v>2</v>
      </c>
      <c r="C77" s="58">
        <f t="shared" si="8"/>
        <v>37.5</v>
      </c>
      <c r="D77" s="58">
        <f t="shared" si="9"/>
        <v>2</v>
      </c>
      <c r="E77" s="15">
        <f t="shared" ca="1" si="10"/>
        <v>0</v>
      </c>
      <c r="F77" s="16" t="str">
        <f>IF(ISNUMBER(C77),IF(AND(RESULTS!$C$36&lt;=C77,C77&lt;=RESULTS!$D$36),E77,""),"")</f>
        <v/>
      </c>
      <c r="G77" s="16" t="str">
        <f t="shared" ca="1" si="11"/>
        <v/>
      </c>
      <c r="H77" s="16" t="str">
        <f>IF(ISNUMBER(C77),IF(AND(RESULTS!$C$37&lt;=C77,C77&lt;=RESULTS!$D$37),E77,""),"")</f>
        <v/>
      </c>
      <c r="I77" s="16" t="str">
        <f t="shared" ca="1" si="12"/>
        <v/>
      </c>
      <c r="J77" s="16" t="str">
        <f>IF(ISNUMBER(C77),IF(AND(RESULTS!$C$38&lt;=C77,C77&lt;=RESULTS!$D$38),E77,""),"")</f>
        <v/>
      </c>
      <c r="K77" s="16" t="str">
        <f t="shared" ca="1" si="13"/>
        <v/>
      </c>
      <c r="L77" s="16" t="str">
        <f>IF(ISNUMBER(C77),IF(AND(RESULTS!$C$39&lt;=C77,C77&lt;=RESULTS!$D$39),E77,""),"")</f>
        <v/>
      </c>
      <c r="M77" s="16" t="str">
        <f t="shared" ca="1" si="14"/>
        <v/>
      </c>
      <c r="N77" s="16" t="str">
        <f>IF(ISNUMBER(C77),IF(AND(RESULTS!$C$40&lt;=C77,C77&lt;=RESULTS!$D$40),E77,""),"")</f>
        <v/>
      </c>
      <c r="O77" s="16" t="str">
        <f t="shared" ca="1" si="15"/>
        <v/>
      </c>
    </row>
    <row r="78" spans="1:15" x14ac:dyDescent="0.25">
      <c r="A78" s="14">
        <v>38</v>
      </c>
      <c r="B78" s="14">
        <v>4</v>
      </c>
      <c r="C78" s="58">
        <f t="shared" si="8"/>
        <v>38</v>
      </c>
      <c r="D78" s="58">
        <f t="shared" si="9"/>
        <v>4</v>
      </c>
      <c r="E78" s="15">
        <f t="shared" ca="1" si="10"/>
        <v>0.78048780487804859</v>
      </c>
      <c r="F78" s="16" t="str">
        <f>IF(ISNUMBER(C78),IF(AND(RESULTS!$C$36&lt;=C78,C78&lt;=RESULTS!$D$36),E78,""),"")</f>
        <v/>
      </c>
      <c r="G78" s="16" t="str">
        <f t="shared" ca="1" si="11"/>
        <v/>
      </c>
      <c r="H78" s="16" t="str">
        <f>IF(ISNUMBER(C78),IF(AND(RESULTS!$C$37&lt;=C78,C78&lt;=RESULTS!$D$37),E78,""),"")</f>
        <v/>
      </c>
      <c r="I78" s="16" t="str">
        <f t="shared" ca="1" si="12"/>
        <v/>
      </c>
      <c r="J78" s="16" t="str">
        <f>IF(ISNUMBER(C78),IF(AND(RESULTS!$C$38&lt;=C78,C78&lt;=RESULTS!$D$38),E78,""),"")</f>
        <v/>
      </c>
      <c r="K78" s="16" t="str">
        <f t="shared" ca="1" si="13"/>
        <v/>
      </c>
      <c r="L78" s="16" t="str">
        <f>IF(ISNUMBER(C78),IF(AND(RESULTS!$C$39&lt;=C78,C78&lt;=RESULTS!$D$39),E78,""),"")</f>
        <v/>
      </c>
      <c r="M78" s="16" t="str">
        <f t="shared" ca="1" si="14"/>
        <v/>
      </c>
      <c r="N78" s="16" t="str">
        <f>IF(ISNUMBER(C78),IF(AND(RESULTS!$C$40&lt;=C78,C78&lt;=RESULTS!$D$40),E78,""),"")</f>
        <v/>
      </c>
      <c r="O78" s="16" t="str">
        <f t="shared" ca="1" si="15"/>
        <v/>
      </c>
    </row>
    <row r="79" spans="1:15" x14ac:dyDescent="0.25">
      <c r="A79" s="14">
        <v>38.5</v>
      </c>
      <c r="B79" s="14">
        <v>3</v>
      </c>
      <c r="C79" s="58">
        <f t="shared" si="8"/>
        <v>38.5</v>
      </c>
      <c r="D79" s="58">
        <f t="shared" si="9"/>
        <v>3</v>
      </c>
      <c r="E79" s="15">
        <f t="shared" ca="1" si="10"/>
        <v>0</v>
      </c>
      <c r="F79" s="16" t="str">
        <f>IF(ISNUMBER(C79),IF(AND(RESULTS!$C$36&lt;=C79,C79&lt;=RESULTS!$D$36),E79,""),"")</f>
        <v/>
      </c>
      <c r="G79" s="16" t="str">
        <f t="shared" ca="1" si="11"/>
        <v/>
      </c>
      <c r="H79" s="16" t="str">
        <f>IF(ISNUMBER(C79),IF(AND(RESULTS!$C$37&lt;=C79,C79&lt;=RESULTS!$D$37),E79,""),"")</f>
        <v/>
      </c>
      <c r="I79" s="16" t="str">
        <f t="shared" ca="1" si="12"/>
        <v/>
      </c>
      <c r="J79" s="16" t="str">
        <f>IF(ISNUMBER(C79),IF(AND(RESULTS!$C$38&lt;=C79,C79&lt;=RESULTS!$D$38),E79,""),"")</f>
        <v/>
      </c>
      <c r="K79" s="16" t="str">
        <f t="shared" ca="1" si="13"/>
        <v/>
      </c>
      <c r="L79" s="16" t="str">
        <f>IF(ISNUMBER(C79),IF(AND(RESULTS!$C$39&lt;=C79,C79&lt;=RESULTS!$D$39),E79,""),"")</f>
        <v/>
      </c>
      <c r="M79" s="16" t="str">
        <f t="shared" ca="1" si="14"/>
        <v/>
      </c>
      <c r="N79" s="16" t="str">
        <f>IF(ISNUMBER(C79),IF(AND(RESULTS!$C$40&lt;=C79,C79&lt;=RESULTS!$D$40),E79,""),"")</f>
        <v/>
      </c>
      <c r="O79" s="16" t="str">
        <f t="shared" ca="1" si="15"/>
        <v/>
      </c>
    </row>
    <row r="80" spans="1:15" x14ac:dyDescent="0.25">
      <c r="A80" s="14">
        <v>39</v>
      </c>
      <c r="B80" s="14">
        <v>1</v>
      </c>
      <c r="C80" s="58">
        <f t="shared" si="8"/>
        <v>39</v>
      </c>
      <c r="D80" s="58">
        <f t="shared" si="9"/>
        <v>1</v>
      </c>
      <c r="E80" s="15">
        <f t="shared" ca="1" si="10"/>
        <v>0</v>
      </c>
      <c r="F80" s="16" t="str">
        <f>IF(ISNUMBER(C80),IF(AND(RESULTS!$C$36&lt;=C80,C80&lt;=RESULTS!$D$36),E80,""),"")</f>
        <v/>
      </c>
      <c r="G80" s="16" t="str">
        <f t="shared" ca="1" si="11"/>
        <v/>
      </c>
      <c r="H80" s="16" t="str">
        <f>IF(ISNUMBER(C80),IF(AND(RESULTS!$C$37&lt;=C80,C80&lt;=RESULTS!$D$37),E80,""),"")</f>
        <v/>
      </c>
      <c r="I80" s="16" t="str">
        <f t="shared" ca="1" si="12"/>
        <v/>
      </c>
      <c r="J80" s="16" t="str">
        <f>IF(ISNUMBER(C80),IF(AND(RESULTS!$C$38&lt;=C80,C80&lt;=RESULTS!$D$38),E80,""),"")</f>
        <v/>
      </c>
      <c r="K80" s="16" t="str">
        <f t="shared" ca="1" si="13"/>
        <v/>
      </c>
      <c r="L80" s="16" t="str">
        <f>IF(ISNUMBER(C80),IF(AND(RESULTS!$C$39&lt;=C80,C80&lt;=RESULTS!$D$39),E80,""),"")</f>
        <v/>
      </c>
      <c r="M80" s="16" t="str">
        <f t="shared" ca="1" si="14"/>
        <v/>
      </c>
      <c r="N80" s="16" t="str">
        <f>IF(ISNUMBER(C80),IF(AND(RESULTS!$C$40&lt;=C80,C80&lt;=RESULTS!$D$40),E80,""),"")</f>
        <v/>
      </c>
      <c r="O80" s="16" t="str">
        <f t="shared" ca="1" si="15"/>
        <v/>
      </c>
    </row>
    <row r="81" spans="1:15" x14ac:dyDescent="0.25">
      <c r="A81" s="14">
        <v>39.5</v>
      </c>
      <c r="B81" s="14">
        <v>3</v>
      </c>
      <c r="C81" s="58">
        <f t="shared" si="8"/>
        <v>39.5</v>
      </c>
      <c r="D81" s="58">
        <f t="shared" si="9"/>
        <v>3</v>
      </c>
      <c r="E81" s="15">
        <f t="shared" ca="1" si="10"/>
        <v>0</v>
      </c>
      <c r="F81" s="16" t="str">
        <f>IF(ISNUMBER(C81),IF(AND(RESULTS!$C$36&lt;=C81,C81&lt;=RESULTS!$D$36),E81,""),"")</f>
        <v/>
      </c>
      <c r="G81" s="16" t="str">
        <f t="shared" ca="1" si="11"/>
        <v/>
      </c>
      <c r="H81" s="16" t="str">
        <f>IF(ISNUMBER(C81),IF(AND(RESULTS!$C$37&lt;=C81,C81&lt;=RESULTS!$D$37),E81,""),"")</f>
        <v/>
      </c>
      <c r="I81" s="16" t="str">
        <f t="shared" ca="1" si="12"/>
        <v/>
      </c>
      <c r="J81" s="16" t="str">
        <f>IF(ISNUMBER(C81),IF(AND(RESULTS!$C$38&lt;=C81,C81&lt;=RESULTS!$D$38),E81,""),"")</f>
        <v/>
      </c>
      <c r="K81" s="16" t="str">
        <f t="shared" ca="1" si="13"/>
        <v/>
      </c>
      <c r="L81" s="16" t="str">
        <f>IF(ISNUMBER(C81),IF(AND(RESULTS!$C$39&lt;=C81,C81&lt;=RESULTS!$D$39),E81,""),"")</f>
        <v/>
      </c>
      <c r="M81" s="16" t="str">
        <f t="shared" ca="1" si="14"/>
        <v/>
      </c>
      <c r="N81" s="16" t="str">
        <f>IF(ISNUMBER(C81),IF(AND(RESULTS!$C$40&lt;=C81,C81&lt;=RESULTS!$D$40),E81,""),"")</f>
        <v/>
      </c>
      <c r="O81" s="16" t="str">
        <f t="shared" ca="1" si="15"/>
        <v/>
      </c>
    </row>
    <row r="82" spans="1:15" x14ac:dyDescent="0.25">
      <c r="A82" s="14">
        <v>40</v>
      </c>
      <c r="B82" s="14">
        <v>1</v>
      </c>
      <c r="C82" s="58">
        <f t="shared" si="8"/>
        <v>40</v>
      </c>
      <c r="D82" s="58">
        <f t="shared" si="9"/>
        <v>1</v>
      </c>
      <c r="E82" s="15">
        <f t="shared" ca="1" si="10"/>
        <v>0</v>
      </c>
      <c r="F82" s="16" t="str">
        <f>IF(ISNUMBER(C82),IF(AND(RESULTS!$C$36&lt;=C82,C82&lt;=RESULTS!$D$36),E82,""),"")</f>
        <v/>
      </c>
      <c r="G82" s="16" t="str">
        <f t="shared" ca="1" si="11"/>
        <v/>
      </c>
      <c r="H82" s="16" t="str">
        <f>IF(ISNUMBER(C82),IF(AND(RESULTS!$C$37&lt;=C82,C82&lt;=RESULTS!$D$37),E82,""),"")</f>
        <v/>
      </c>
      <c r="I82" s="16" t="str">
        <f t="shared" ca="1" si="12"/>
        <v/>
      </c>
      <c r="J82" s="16" t="str">
        <f>IF(ISNUMBER(C82),IF(AND(RESULTS!$C$38&lt;=C82,C82&lt;=RESULTS!$D$38),E82,""),"")</f>
        <v/>
      </c>
      <c r="K82" s="16" t="str">
        <f t="shared" ca="1" si="13"/>
        <v/>
      </c>
      <c r="L82" s="16" t="str">
        <f>IF(ISNUMBER(C82),IF(AND(RESULTS!$C$39&lt;=C82,C82&lt;=RESULTS!$D$39),E82,""),"")</f>
        <v/>
      </c>
      <c r="M82" s="16" t="str">
        <f t="shared" ca="1" si="14"/>
        <v/>
      </c>
      <c r="N82" s="16" t="str">
        <f>IF(ISNUMBER(C82),IF(AND(RESULTS!$C$40&lt;=C82,C82&lt;=RESULTS!$D$40),E82,""),"")</f>
        <v/>
      </c>
      <c r="O82" s="16" t="str">
        <f t="shared" ca="1" si="15"/>
        <v/>
      </c>
    </row>
    <row r="83" spans="1:15" x14ac:dyDescent="0.25">
      <c r="A83" s="14">
        <v>40.5</v>
      </c>
      <c r="B83" s="14">
        <v>0</v>
      </c>
      <c r="C83" s="58">
        <f t="shared" si="8"/>
        <v>40.5</v>
      </c>
      <c r="D83" s="58">
        <f t="shared" si="9"/>
        <v>0</v>
      </c>
      <c r="E83" s="15">
        <f t="shared" ca="1" si="10"/>
        <v>0</v>
      </c>
      <c r="F83" s="16" t="str">
        <f>IF(ISNUMBER(C83),IF(AND(RESULTS!$C$36&lt;=C83,C83&lt;=RESULTS!$D$36),E83,""),"")</f>
        <v/>
      </c>
      <c r="G83" s="16" t="str">
        <f t="shared" ca="1" si="11"/>
        <v/>
      </c>
      <c r="H83" s="16" t="str">
        <f>IF(ISNUMBER(C83),IF(AND(RESULTS!$C$37&lt;=C83,C83&lt;=RESULTS!$D$37),E83,""),"")</f>
        <v/>
      </c>
      <c r="I83" s="16" t="str">
        <f t="shared" ca="1" si="12"/>
        <v/>
      </c>
      <c r="J83" s="16" t="str">
        <f>IF(ISNUMBER(C83),IF(AND(RESULTS!$C$38&lt;=C83,C83&lt;=RESULTS!$D$38),E83,""),"")</f>
        <v/>
      </c>
      <c r="K83" s="16" t="str">
        <f t="shared" ca="1" si="13"/>
        <v/>
      </c>
      <c r="L83" s="16" t="str">
        <f>IF(ISNUMBER(C83),IF(AND(RESULTS!$C$39&lt;=C83,C83&lt;=RESULTS!$D$39),E83,""),"")</f>
        <v/>
      </c>
      <c r="M83" s="16" t="str">
        <f t="shared" ca="1" si="14"/>
        <v/>
      </c>
      <c r="N83" s="16" t="str">
        <f>IF(ISNUMBER(C83),IF(AND(RESULTS!$C$40&lt;=C83,C83&lt;=RESULTS!$D$40),E83,""),"")</f>
        <v/>
      </c>
      <c r="O83" s="16" t="str">
        <f t="shared" ca="1" si="15"/>
        <v/>
      </c>
    </row>
    <row r="84" spans="1:15" x14ac:dyDescent="0.25">
      <c r="A84" s="14">
        <v>41</v>
      </c>
      <c r="B84" s="14">
        <v>4</v>
      </c>
      <c r="C84" s="58">
        <f t="shared" si="8"/>
        <v>41</v>
      </c>
      <c r="D84" s="58">
        <f t="shared" si="9"/>
        <v>4</v>
      </c>
      <c r="E84" s="15">
        <f t="shared" ca="1" si="10"/>
        <v>0.78048780487804859</v>
      </c>
      <c r="F84" s="16" t="str">
        <f>IF(ISNUMBER(C84),IF(AND(RESULTS!$C$36&lt;=C84,C84&lt;=RESULTS!$D$36),E84,""),"")</f>
        <v/>
      </c>
      <c r="G84" s="16" t="str">
        <f t="shared" ca="1" si="11"/>
        <v/>
      </c>
      <c r="H84" s="16" t="str">
        <f>IF(ISNUMBER(C84),IF(AND(RESULTS!$C$37&lt;=C84,C84&lt;=RESULTS!$D$37),E84,""),"")</f>
        <v/>
      </c>
      <c r="I84" s="16" t="str">
        <f t="shared" ca="1" si="12"/>
        <v/>
      </c>
      <c r="J84" s="16" t="str">
        <f>IF(ISNUMBER(C84),IF(AND(RESULTS!$C$38&lt;=C84,C84&lt;=RESULTS!$D$38),E84,""),"")</f>
        <v/>
      </c>
      <c r="K84" s="16" t="str">
        <f t="shared" ca="1" si="13"/>
        <v/>
      </c>
      <c r="L84" s="16" t="str">
        <f>IF(ISNUMBER(C84),IF(AND(RESULTS!$C$39&lt;=C84,C84&lt;=RESULTS!$D$39),E84,""),"")</f>
        <v/>
      </c>
      <c r="M84" s="16" t="str">
        <f t="shared" ca="1" si="14"/>
        <v/>
      </c>
      <c r="N84" s="16" t="str">
        <f>IF(ISNUMBER(C84),IF(AND(RESULTS!$C$40&lt;=C84,C84&lt;=RESULTS!$D$40),E84,""),"")</f>
        <v/>
      </c>
      <c r="O84" s="16" t="str">
        <f t="shared" ca="1" si="15"/>
        <v/>
      </c>
    </row>
    <row r="85" spans="1:15" x14ac:dyDescent="0.25">
      <c r="A85" s="14">
        <v>41.5</v>
      </c>
      <c r="B85" s="14">
        <v>4</v>
      </c>
      <c r="C85" s="58">
        <f t="shared" si="8"/>
        <v>41.5</v>
      </c>
      <c r="D85" s="58">
        <f t="shared" si="9"/>
        <v>4</v>
      </c>
      <c r="E85" s="15">
        <f t="shared" ca="1" si="10"/>
        <v>0.78048780487804859</v>
      </c>
      <c r="F85" s="16" t="str">
        <f>IF(ISNUMBER(C85),IF(AND(RESULTS!$C$36&lt;=C85,C85&lt;=RESULTS!$D$36),E85,""),"")</f>
        <v/>
      </c>
      <c r="G85" s="16" t="str">
        <f t="shared" ca="1" si="11"/>
        <v/>
      </c>
      <c r="H85" s="16" t="str">
        <f>IF(ISNUMBER(C85),IF(AND(RESULTS!$C$37&lt;=C85,C85&lt;=RESULTS!$D$37),E85,""),"")</f>
        <v/>
      </c>
      <c r="I85" s="16" t="str">
        <f t="shared" ca="1" si="12"/>
        <v/>
      </c>
      <c r="J85" s="16" t="str">
        <f>IF(ISNUMBER(C85),IF(AND(RESULTS!$C$38&lt;=C85,C85&lt;=RESULTS!$D$38),E85,""),"")</f>
        <v/>
      </c>
      <c r="K85" s="16" t="str">
        <f t="shared" ca="1" si="13"/>
        <v/>
      </c>
      <c r="L85" s="16" t="str">
        <f>IF(ISNUMBER(C85),IF(AND(RESULTS!$C$39&lt;=C85,C85&lt;=RESULTS!$D$39),E85,""),"")</f>
        <v/>
      </c>
      <c r="M85" s="16" t="str">
        <f t="shared" ca="1" si="14"/>
        <v/>
      </c>
      <c r="N85" s="16" t="str">
        <f>IF(ISNUMBER(C85),IF(AND(RESULTS!$C$40&lt;=C85,C85&lt;=RESULTS!$D$40),E85,""),"")</f>
        <v/>
      </c>
      <c r="O85" s="16" t="str">
        <f t="shared" ca="1" si="15"/>
        <v/>
      </c>
    </row>
    <row r="86" spans="1:15" x14ac:dyDescent="0.25">
      <c r="A86" s="14">
        <v>42</v>
      </c>
      <c r="B86" s="14">
        <v>4</v>
      </c>
      <c r="C86" s="58">
        <f t="shared" si="8"/>
        <v>42</v>
      </c>
      <c r="D86" s="58">
        <f t="shared" si="9"/>
        <v>4</v>
      </c>
      <c r="E86" s="15">
        <f t="shared" ca="1" si="10"/>
        <v>0.78048780487804859</v>
      </c>
      <c r="F86" s="16" t="str">
        <f>IF(ISNUMBER(C86),IF(AND(RESULTS!$C$36&lt;=C86,C86&lt;=RESULTS!$D$36),E86,""),"")</f>
        <v/>
      </c>
      <c r="G86" s="16" t="str">
        <f t="shared" ca="1" si="11"/>
        <v/>
      </c>
      <c r="H86" s="16" t="str">
        <f>IF(ISNUMBER(C86),IF(AND(RESULTS!$C$37&lt;=C86,C86&lt;=RESULTS!$D$37),E86,""),"")</f>
        <v/>
      </c>
      <c r="I86" s="16" t="str">
        <f t="shared" ca="1" si="12"/>
        <v/>
      </c>
      <c r="J86" s="16" t="str">
        <f>IF(ISNUMBER(C86),IF(AND(RESULTS!$C$38&lt;=C86,C86&lt;=RESULTS!$D$38),E86,""),"")</f>
        <v/>
      </c>
      <c r="K86" s="16" t="str">
        <f t="shared" ca="1" si="13"/>
        <v/>
      </c>
      <c r="L86" s="16" t="str">
        <f>IF(ISNUMBER(C86),IF(AND(RESULTS!$C$39&lt;=C86,C86&lt;=RESULTS!$D$39),E86,""),"")</f>
        <v/>
      </c>
      <c r="M86" s="16" t="str">
        <f t="shared" ca="1" si="14"/>
        <v/>
      </c>
      <c r="N86" s="16" t="str">
        <f>IF(ISNUMBER(C86),IF(AND(RESULTS!$C$40&lt;=C86,C86&lt;=RESULTS!$D$40),E86,""),"")</f>
        <v/>
      </c>
      <c r="O86" s="16" t="str">
        <f t="shared" ca="1" si="15"/>
        <v/>
      </c>
    </row>
    <row r="87" spans="1:15" x14ac:dyDescent="0.25">
      <c r="A87" s="14">
        <v>42.5</v>
      </c>
      <c r="B87" s="14">
        <v>3</v>
      </c>
      <c r="C87" s="58">
        <f t="shared" si="8"/>
        <v>42.5</v>
      </c>
      <c r="D87" s="58">
        <f t="shared" si="9"/>
        <v>3</v>
      </c>
      <c r="E87" s="15">
        <f t="shared" ca="1" si="10"/>
        <v>0</v>
      </c>
      <c r="F87" s="16" t="str">
        <f>IF(ISNUMBER(C87),IF(AND(RESULTS!$C$36&lt;=C87,C87&lt;=RESULTS!$D$36),E87,""),"")</f>
        <v/>
      </c>
      <c r="G87" s="16" t="str">
        <f t="shared" ca="1" si="11"/>
        <v/>
      </c>
      <c r="H87" s="16" t="str">
        <f>IF(ISNUMBER(C87),IF(AND(RESULTS!$C$37&lt;=C87,C87&lt;=RESULTS!$D$37),E87,""),"")</f>
        <v/>
      </c>
      <c r="I87" s="16" t="str">
        <f t="shared" ca="1" si="12"/>
        <v/>
      </c>
      <c r="J87" s="16" t="str">
        <f>IF(ISNUMBER(C87),IF(AND(RESULTS!$C$38&lt;=C87,C87&lt;=RESULTS!$D$38),E87,""),"")</f>
        <v/>
      </c>
      <c r="K87" s="16" t="str">
        <f t="shared" ca="1" si="13"/>
        <v/>
      </c>
      <c r="L87" s="16" t="str">
        <f>IF(ISNUMBER(C87),IF(AND(RESULTS!$C$39&lt;=C87,C87&lt;=RESULTS!$D$39),E87,""),"")</f>
        <v/>
      </c>
      <c r="M87" s="16" t="str">
        <f t="shared" ca="1" si="14"/>
        <v/>
      </c>
      <c r="N87" s="16" t="str">
        <f>IF(ISNUMBER(C87),IF(AND(RESULTS!$C$40&lt;=C87,C87&lt;=RESULTS!$D$40),E87,""),"")</f>
        <v/>
      </c>
      <c r="O87" s="16" t="str">
        <f t="shared" ca="1" si="15"/>
        <v/>
      </c>
    </row>
    <row r="88" spans="1:15" x14ac:dyDescent="0.25">
      <c r="A88" s="14">
        <v>43</v>
      </c>
      <c r="B88" s="14">
        <v>2</v>
      </c>
      <c r="C88" s="58">
        <f t="shared" si="8"/>
        <v>43</v>
      </c>
      <c r="D88" s="58">
        <f t="shared" si="9"/>
        <v>2</v>
      </c>
      <c r="E88" s="15">
        <f t="shared" ca="1" si="10"/>
        <v>0</v>
      </c>
      <c r="F88" s="16" t="str">
        <f>IF(ISNUMBER(C88),IF(AND(RESULTS!$C$36&lt;=C88,C88&lt;=RESULTS!$D$36),E88,""),"")</f>
        <v/>
      </c>
      <c r="G88" s="16" t="str">
        <f t="shared" ca="1" si="11"/>
        <v/>
      </c>
      <c r="H88" s="16" t="str">
        <f>IF(ISNUMBER(C88),IF(AND(RESULTS!$C$37&lt;=C88,C88&lt;=RESULTS!$D$37),E88,""),"")</f>
        <v/>
      </c>
      <c r="I88" s="16" t="str">
        <f t="shared" ca="1" si="12"/>
        <v/>
      </c>
      <c r="J88" s="16" t="str">
        <f>IF(ISNUMBER(C88),IF(AND(RESULTS!$C$38&lt;=C88,C88&lt;=RESULTS!$D$38),E88,""),"")</f>
        <v/>
      </c>
      <c r="K88" s="16" t="str">
        <f t="shared" ca="1" si="13"/>
        <v/>
      </c>
      <c r="L88" s="16" t="str">
        <f>IF(ISNUMBER(C88),IF(AND(RESULTS!$C$39&lt;=C88,C88&lt;=RESULTS!$D$39),E88,""),"")</f>
        <v/>
      </c>
      <c r="M88" s="16" t="str">
        <f t="shared" ca="1" si="14"/>
        <v/>
      </c>
      <c r="N88" s="16" t="str">
        <f>IF(ISNUMBER(C88),IF(AND(RESULTS!$C$40&lt;=C88,C88&lt;=RESULTS!$D$40),E88,""),"")</f>
        <v/>
      </c>
      <c r="O88" s="16" t="str">
        <f t="shared" ca="1" si="15"/>
        <v/>
      </c>
    </row>
    <row r="89" spans="1:15" x14ac:dyDescent="0.25">
      <c r="A89" s="14">
        <v>43.5</v>
      </c>
      <c r="B89" s="14">
        <v>4</v>
      </c>
      <c r="C89" s="58">
        <f t="shared" si="8"/>
        <v>43.5</v>
      </c>
      <c r="D89" s="58">
        <f t="shared" si="9"/>
        <v>4</v>
      </c>
      <c r="E89" s="15">
        <f t="shared" ca="1" si="10"/>
        <v>0.78048780487804859</v>
      </c>
      <c r="F89" s="16" t="str">
        <f>IF(ISNUMBER(C89),IF(AND(RESULTS!$C$36&lt;=C89,C89&lt;=RESULTS!$D$36),E89,""),"")</f>
        <v/>
      </c>
      <c r="G89" s="16" t="str">
        <f t="shared" ca="1" si="11"/>
        <v/>
      </c>
      <c r="H89" s="16" t="str">
        <f>IF(ISNUMBER(C89),IF(AND(RESULTS!$C$37&lt;=C89,C89&lt;=RESULTS!$D$37),E89,""),"")</f>
        <v/>
      </c>
      <c r="I89" s="16" t="str">
        <f t="shared" ca="1" si="12"/>
        <v/>
      </c>
      <c r="J89" s="16" t="str">
        <f>IF(ISNUMBER(C89),IF(AND(RESULTS!$C$38&lt;=C89,C89&lt;=RESULTS!$D$38),E89,""),"")</f>
        <v/>
      </c>
      <c r="K89" s="16" t="str">
        <f t="shared" ca="1" si="13"/>
        <v/>
      </c>
      <c r="L89" s="16" t="str">
        <f>IF(ISNUMBER(C89),IF(AND(RESULTS!$C$39&lt;=C89,C89&lt;=RESULTS!$D$39),E89,""),"")</f>
        <v/>
      </c>
      <c r="M89" s="16" t="str">
        <f t="shared" ca="1" si="14"/>
        <v/>
      </c>
      <c r="N89" s="16" t="str">
        <f>IF(ISNUMBER(C89),IF(AND(RESULTS!$C$40&lt;=C89,C89&lt;=RESULTS!$D$40),E89,""),"")</f>
        <v/>
      </c>
      <c r="O89" s="16" t="str">
        <f t="shared" ca="1" si="15"/>
        <v/>
      </c>
    </row>
    <row r="90" spans="1:15" x14ac:dyDescent="0.25">
      <c r="A90" s="14">
        <v>44</v>
      </c>
      <c r="B90" s="14">
        <v>3</v>
      </c>
      <c r="C90" s="58">
        <f t="shared" si="8"/>
        <v>44</v>
      </c>
      <c r="D90" s="58">
        <f t="shared" si="9"/>
        <v>3</v>
      </c>
      <c r="E90" s="15">
        <f t="shared" ca="1" si="10"/>
        <v>0</v>
      </c>
      <c r="F90" s="16" t="str">
        <f>IF(ISNUMBER(C90),IF(AND(RESULTS!$C$36&lt;=C90,C90&lt;=RESULTS!$D$36),E90,""),"")</f>
        <v/>
      </c>
      <c r="G90" s="16" t="str">
        <f t="shared" ca="1" si="11"/>
        <v/>
      </c>
      <c r="H90" s="16" t="str">
        <f>IF(ISNUMBER(C90),IF(AND(RESULTS!$C$37&lt;=C90,C90&lt;=RESULTS!$D$37),E90,""),"")</f>
        <v/>
      </c>
      <c r="I90" s="16" t="str">
        <f t="shared" ca="1" si="12"/>
        <v/>
      </c>
      <c r="J90" s="16" t="str">
        <f>IF(ISNUMBER(C90),IF(AND(RESULTS!$C$38&lt;=C90,C90&lt;=RESULTS!$D$38),E90,""),"")</f>
        <v/>
      </c>
      <c r="K90" s="16" t="str">
        <f t="shared" ca="1" si="13"/>
        <v/>
      </c>
      <c r="L90" s="16" t="str">
        <f>IF(ISNUMBER(C90),IF(AND(RESULTS!$C$39&lt;=C90,C90&lt;=RESULTS!$D$39),E90,""),"")</f>
        <v/>
      </c>
      <c r="M90" s="16" t="str">
        <f t="shared" ca="1" si="14"/>
        <v/>
      </c>
      <c r="N90" s="16" t="str">
        <f>IF(ISNUMBER(C90),IF(AND(RESULTS!$C$40&lt;=C90,C90&lt;=RESULTS!$D$40),E90,""),"")</f>
        <v/>
      </c>
      <c r="O90" s="16" t="str">
        <f t="shared" ca="1" si="15"/>
        <v/>
      </c>
    </row>
    <row r="91" spans="1:15" x14ac:dyDescent="0.25">
      <c r="A91" s="14">
        <v>44.5</v>
      </c>
      <c r="B91" s="14">
        <v>2</v>
      </c>
      <c r="C91" s="58">
        <f t="shared" si="8"/>
        <v>44.5</v>
      </c>
      <c r="D91" s="58">
        <f t="shared" si="9"/>
        <v>2</v>
      </c>
      <c r="E91" s="15">
        <f t="shared" ca="1" si="10"/>
        <v>0</v>
      </c>
      <c r="F91" s="16" t="str">
        <f>IF(ISNUMBER(C91),IF(AND(RESULTS!$C$36&lt;=C91,C91&lt;=RESULTS!$D$36),E91,""),"")</f>
        <v/>
      </c>
      <c r="G91" s="16" t="str">
        <f t="shared" ca="1" si="11"/>
        <v/>
      </c>
      <c r="H91" s="16" t="str">
        <f>IF(ISNUMBER(C91),IF(AND(RESULTS!$C$37&lt;=C91,C91&lt;=RESULTS!$D$37),E91,""),"")</f>
        <v/>
      </c>
      <c r="I91" s="16" t="str">
        <f t="shared" ca="1" si="12"/>
        <v/>
      </c>
      <c r="J91" s="16" t="str">
        <f>IF(ISNUMBER(C91),IF(AND(RESULTS!$C$38&lt;=C91,C91&lt;=RESULTS!$D$38),E91,""),"")</f>
        <v/>
      </c>
      <c r="K91" s="16" t="str">
        <f t="shared" ca="1" si="13"/>
        <v/>
      </c>
      <c r="L91" s="16" t="str">
        <f>IF(ISNUMBER(C91),IF(AND(RESULTS!$C$39&lt;=C91,C91&lt;=RESULTS!$D$39),E91,""),"")</f>
        <v/>
      </c>
      <c r="M91" s="16" t="str">
        <f t="shared" ca="1" si="14"/>
        <v/>
      </c>
      <c r="N91" s="16" t="str">
        <f>IF(ISNUMBER(C91),IF(AND(RESULTS!$C$40&lt;=C91,C91&lt;=RESULTS!$D$40),E91,""),"")</f>
        <v/>
      </c>
      <c r="O91" s="16" t="str">
        <f t="shared" ca="1" si="15"/>
        <v/>
      </c>
    </row>
    <row r="92" spans="1:15" x14ac:dyDescent="0.25">
      <c r="A92" s="14">
        <v>45</v>
      </c>
      <c r="B92" s="14">
        <v>2</v>
      </c>
      <c r="C92" s="58">
        <f t="shared" si="8"/>
        <v>45</v>
      </c>
      <c r="D92" s="58">
        <f t="shared" si="9"/>
        <v>2</v>
      </c>
      <c r="E92" s="15">
        <f t="shared" ca="1" si="10"/>
        <v>0</v>
      </c>
      <c r="F92" s="16" t="str">
        <f>IF(ISNUMBER(C92),IF(AND(RESULTS!$C$36&lt;=C92,C92&lt;=RESULTS!$D$36),E92,""),"")</f>
        <v/>
      </c>
      <c r="G92" s="16" t="str">
        <f t="shared" ca="1" si="11"/>
        <v/>
      </c>
      <c r="H92" s="16" t="str">
        <f>IF(ISNUMBER(C92),IF(AND(RESULTS!$C$37&lt;=C92,C92&lt;=RESULTS!$D$37),E92,""),"")</f>
        <v/>
      </c>
      <c r="I92" s="16" t="str">
        <f t="shared" ca="1" si="12"/>
        <v/>
      </c>
      <c r="J92" s="16" t="str">
        <f>IF(ISNUMBER(C92),IF(AND(RESULTS!$C$38&lt;=C92,C92&lt;=RESULTS!$D$38),E92,""),"")</f>
        <v/>
      </c>
      <c r="K92" s="16" t="str">
        <f t="shared" ca="1" si="13"/>
        <v/>
      </c>
      <c r="L92" s="16" t="str">
        <f>IF(ISNUMBER(C92),IF(AND(RESULTS!$C$39&lt;=C92,C92&lt;=RESULTS!$D$39),E92,""),"")</f>
        <v/>
      </c>
      <c r="M92" s="16" t="str">
        <f t="shared" ca="1" si="14"/>
        <v/>
      </c>
      <c r="N92" s="16" t="str">
        <f>IF(ISNUMBER(C92),IF(AND(RESULTS!$C$40&lt;=C92,C92&lt;=RESULTS!$D$40),E92,""),"")</f>
        <v/>
      </c>
      <c r="O92" s="16" t="str">
        <f t="shared" ca="1" si="15"/>
        <v/>
      </c>
    </row>
    <row r="93" spans="1:15" x14ac:dyDescent="0.25">
      <c r="A93" s="14">
        <v>45.5</v>
      </c>
      <c r="B93" s="14">
        <v>2</v>
      </c>
      <c r="C93" s="58">
        <f t="shared" si="8"/>
        <v>45.5</v>
      </c>
      <c r="D93" s="58">
        <f t="shared" si="9"/>
        <v>2</v>
      </c>
      <c r="E93" s="15">
        <f t="shared" ca="1" si="10"/>
        <v>0</v>
      </c>
      <c r="F93" s="16" t="str">
        <f>IF(ISNUMBER(C93),IF(AND(RESULTS!$C$36&lt;=C93,C93&lt;=RESULTS!$D$36),E93,""),"")</f>
        <v/>
      </c>
      <c r="G93" s="16" t="str">
        <f t="shared" ca="1" si="11"/>
        <v/>
      </c>
      <c r="H93" s="16" t="str">
        <f>IF(ISNUMBER(C93),IF(AND(RESULTS!$C$37&lt;=C93,C93&lt;=RESULTS!$D$37),E93,""),"")</f>
        <v/>
      </c>
      <c r="I93" s="16" t="str">
        <f t="shared" ca="1" si="12"/>
        <v/>
      </c>
      <c r="J93" s="16" t="str">
        <f>IF(ISNUMBER(C93),IF(AND(RESULTS!$C$38&lt;=C93,C93&lt;=RESULTS!$D$38),E93,""),"")</f>
        <v/>
      </c>
      <c r="K93" s="16" t="str">
        <f t="shared" ca="1" si="13"/>
        <v/>
      </c>
      <c r="L93" s="16" t="str">
        <f>IF(ISNUMBER(C93),IF(AND(RESULTS!$C$39&lt;=C93,C93&lt;=RESULTS!$D$39),E93,""),"")</f>
        <v/>
      </c>
      <c r="M93" s="16" t="str">
        <f t="shared" ca="1" si="14"/>
        <v/>
      </c>
      <c r="N93" s="16" t="str">
        <f>IF(ISNUMBER(C93),IF(AND(RESULTS!$C$40&lt;=C93,C93&lt;=RESULTS!$D$40),E93,""),"")</f>
        <v/>
      </c>
      <c r="O93" s="16" t="str">
        <f t="shared" ca="1" si="15"/>
        <v/>
      </c>
    </row>
    <row r="94" spans="1:15" x14ac:dyDescent="0.25">
      <c r="A94" s="14">
        <v>46</v>
      </c>
      <c r="B94" s="14">
        <v>3</v>
      </c>
      <c r="C94" s="58">
        <f t="shared" si="8"/>
        <v>46</v>
      </c>
      <c r="D94" s="58">
        <f t="shared" si="9"/>
        <v>3</v>
      </c>
      <c r="E94" s="15">
        <f t="shared" ca="1" si="10"/>
        <v>0</v>
      </c>
      <c r="F94" s="16" t="str">
        <f>IF(ISNUMBER(C94),IF(AND(RESULTS!$C$36&lt;=C94,C94&lt;=RESULTS!$D$36),E94,""),"")</f>
        <v/>
      </c>
      <c r="G94" s="16" t="str">
        <f t="shared" ca="1" si="11"/>
        <v/>
      </c>
      <c r="H94" s="16" t="str">
        <f>IF(ISNUMBER(C94),IF(AND(RESULTS!$C$37&lt;=C94,C94&lt;=RESULTS!$D$37),E94,""),"")</f>
        <v/>
      </c>
      <c r="I94" s="16" t="str">
        <f t="shared" ca="1" si="12"/>
        <v/>
      </c>
      <c r="J94" s="16" t="str">
        <f>IF(ISNUMBER(C94),IF(AND(RESULTS!$C$38&lt;=C94,C94&lt;=RESULTS!$D$38),E94,""),"")</f>
        <v/>
      </c>
      <c r="K94" s="16" t="str">
        <f t="shared" ca="1" si="13"/>
        <v/>
      </c>
      <c r="L94" s="16" t="str">
        <f>IF(ISNUMBER(C94),IF(AND(RESULTS!$C$39&lt;=C94,C94&lt;=RESULTS!$D$39),E94,""),"")</f>
        <v/>
      </c>
      <c r="M94" s="16" t="str">
        <f t="shared" ca="1" si="14"/>
        <v/>
      </c>
      <c r="N94" s="16" t="str">
        <f>IF(ISNUMBER(C94),IF(AND(RESULTS!$C$40&lt;=C94,C94&lt;=RESULTS!$D$40),E94,""),"")</f>
        <v/>
      </c>
      <c r="O94" s="16" t="str">
        <f t="shared" ca="1" si="15"/>
        <v/>
      </c>
    </row>
    <row r="95" spans="1:15" x14ac:dyDescent="0.25">
      <c r="A95" s="14">
        <v>46.5</v>
      </c>
      <c r="B95" s="14">
        <v>3</v>
      </c>
      <c r="C95" s="58">
        <f t="shared" si="8"/>
        <v>46.5</v>
      </c>
      <c r="D95" s="58">
        <f t="shared" si="9"/>
        <v>3</v>
      </c>
      <c r="E95" s="15">
        <f t="shared" ca="1" si="10"/>
        <v>0</v>
      </c>
      <c r="F95" s="16" t="str">
        <f>IF(ISNUMBER(C95),IF(AND(RESULTS!$C$36&lt;=C95,C95&lt;=RESULTS!$D$36),E95,""),"")</f>
        <v/>
      </c>
      <c r="G95" s="16" t="str">
        <f t="shared" ca="1" si="11"/>
        <v/>
      </c>
      <c r="H95" s="16" t="str">
        <f>IF(ISNUMBER(C95),IF(AND(RESULTS!$C$37&lt;=C95,C95&lt;=RESULTS!$D$37),E95,""),"")</f>
        <v/>
      </c>
      <c r="I95" s="16" t="str">
        <f t="shared" ca="1" si="12"/>
        <v/>
      </c>
      <c r="J95" s="16" t="str">
        <f>IF(ISNUMBER(C95),IF(AND(RESULTS!$C$38&lt;=C95,C95&lt;=RESULTS!$D$38),E95,""),"")</f>
        <v/>
      </c>
      <c r="K95" s="16" t="str">
        <f t="shared" ca="1" si="13"/>
        <v/>
      </c>
      <c r="L95" s="16" t="str">
        <f>IF(ISNUMBER(C95),IF(AND(RESULTS!$C$39&lt;=C95,C95&lt;=RESULTS!$D$39),E95,""),"")</f>
        <v/>
      </c>
      <c r="M95" s="16" t="str">
        <f t="shared" ca="1" si="14"/>
        <v/>
      </c>
      <c r="N95" s="16" t="str">
        <f>IF(ISNUMBER(C95),IF(AND(RESULTS!$C$40&lt;=C95,C95&lt;=RESULTS!$D$40),E95,""),"")</f>
        <v/>
      </c>
      <c r="O95" s="16" t="str">
        <f t="shared" ca="1" si="15"/>
        <v/>
      </c>
    </row>
    <row r="96" spans="1:15" x14ac:dyDescent="0.25">
      <c r="A96" s="14">
        <v>47</v>
      </c>
      <c r="B96" s="14">
        <v>1</v>
      </c>
      <c r="C96" s="58">
        <f t="shared" si="8"/>
        <v>47</v>
      </c>
      <c r="D96" s="58">
        <f t="shared" si="9"/>
        <v>1</v>
      </c>
      <c r="E96" s="15">
        <f t="shared" ca="1" si="10"/>
        <v>0</v>
      </c>
      <c r="F96" s="16" t="str">
        <f>IF(ISNUMBER(C96),IF(AND(RESULTS!$C$36&lt;=C96,C96&lt;=RESULTS!$D$36),E96,""),"")</f>
        <v/>
      </c>
      <c r="G96" s="16" t="str">
        <f t="shared" ca="1" si="11"/>
        <v/>
      </c>
      <c r="H96" s="16" t="str">
        <f>IF(ISNUMBER(C96),IF(AND(RESULTS!$C$37&lt;=C96,C96&lt;=RESULTS!$D$37),E96,""),"")</f>
        <v/>
      </c>
      <c r="I96" s="16" t="str">
        <f t="shared" ca="1" si="12"/>
        <v/>
      </c>
      <c r="J96" s="16" t="str">
        <f>IF(ISNUMBER(C96),IF(AND(RESULTS!$C$38&lt;=C96,C96&lt;=RESULTS!$D$38),E96,""),"")</f>
        <v/>
      </c>
      <c r="K96" s="16" t="str">
        <f t="shared" ca="1" si="13"/>
        <v/>
      </c>
      <c r="L96" s="16" t="str">
        <f>IF(ISNUMBER(C96),IF(AND(RESULTS!$C$39&lt;=C96,C96&lt;=RESULTS!$D$39),E96,""),"")</f>
        <v/>
      </c>
      <c r="M96" s="16" t="str">
        <f t="shared" ca="1" si="14"/>
        <v/>
      </c>
      <c r="N96" s="16" t="str">
        <f>IF(ISNUMBER(C96),IF(AND(RESULTS!$C$40&lt;=C96,C96&lt;=RESULTS!$D$40),E96,""),"")</f>
        <v/>
      </c>
      <c r="O96" s="16" t="str">
        <f t="shared" ca="1" si="15"/>
        <v/>
      </c>
    </row>
    <row r="97" spans="1:15" x14ac:dyDescent="0.25">
      <c r="A97" s="14">
        <v>47.5</v>
      </c>
      <c r="B97" s="14">
        <v>3</v>
      </c>
      <c r="C97" s="58">
        <f t="shared" si="8"/>
        <v>47.5</v>
      </c>
      <c r="D97" s="58">
        <f t="shared" si="9"/>
        <v>3</v>
      </c>
      <c r="E97" s="15">
        <f t="shared" ca="1" si="10"/>
        <v>0</v>
      </c>
      <c r="F97" s="16" t="str">
        <f>IF(ISNUMBER(C97),IF(AND(RESULTS!$C$36&lt;=C97,C97&lt;=RESULTS!$D$36),E97,""),"")</f>
        <v/>
      </c>
      <c r="G97" s="16" t="str">
        <f t="shared" ca="1" si="11"/>
        <v/>
      </c>
      <c r="H97" s="16" t="str">
        <f>IF(ISNUMBER(C97),IF(AND(RESULTS!$C$37&lt;=C97,C97&lt;=RESULTS!$D$37),E97,""),"")</f>
        <v/>
      </c>
      <c r="I97" s="16" t="str">
        <f t="shared" ca="1" si="12"/>
        <v/>
      </c>
      <c r="J97" s="16" t="str">
        <f>IF(ISNUMBER(C97),IF(AND(RESULTS!$C$38&lt;=C97,C97&lt;=RESULTS!$D$38),E97,""),"")</f>
        <v/>
      </c>
      <c r="K97" s="16" t="str">
        <f t="shared" ca="1" si="13"/>
        <v/>
      </c>
      <c r="L97" s="16" t="str">
        <f>IF(ISNUMBER(C97),IF(AND(RESULTS!$C$39&lt;=C97,C97&lt;=RESULTS!$D$39),E97,""),"")</f>
        <v/>
      </c>
      <c r="M97" s="16" t="str">
        <f t="shared" ca="1" si="14"/>
        <v/>
      </c>
      <c r="N97" s="16" t="str">
        <f>IF(ISNUMBER(C97),IF(AND(RESULTS!$C$40&lt;=C97,C97&lt;=RESULTS!$D$40),E97,""),"")</f>
        <v/>
      </c>
      <c r="O97" s="16" t="str">
        <f t="shared" ca="1" si="15"/>
        <v/>
      </c>
    </row>
    <row r="98" spans="1:15" x14ac:dyDescent="0.25">
      <c r="A98" s="14">
        <v>48</v>
      </c>
      <c r="B98" s="14">
        <v>3</v>
      </c>
      <c r="C98" s="58">
        <f t="shared" si="8"/>
        <v>48</v>
      </c>
      <c r="D98" s="58">
        <f t="shared" si="9"/>
        <v>3</v>
      </c>
      <c r="E98" s="15">
        <f t="shared" ca="1" si="10"/>
        <v>0</v>
      </c>
      <c r="F98" s="16" t="str">
        <f>IF(ISNUMBER(C98),IF(AND(RESULTS!$C$36&lt;=C98,C98&lt;=RESULTS!$D$36),E98,""),"")</f>
        <v/>
      </c>
      <c r="G98" s="16" t="str">
        <f t="shared" ca="1" si="11"/>
        <v/>
      </c>
      <c r="H98" s="16" t="str">
        <f>IF(ISNUMBER(C98),IF(AND(RESULTS!$C$37&lt;=C98,C98&lt;=RESULTS!$D$37),E98,""),"")</f>
        <v/>
      </c>
      <c r="I98" s="16" t="str">
        <f t="shared" ca="1" si="12"/>
        <v/>
      </c>
      <c r="J98" s="16" t="str">
        <f>IF(ISNUMBER(C98),IF(AND(RESULTS!$C$38&lt;=C98,C98&lt;=RESULTS!$D$38),E98,""),"")</f>
        <v/>
      </c>
      <c r="K98" s="16" t="str">
        <f t="shared" ca="1" si="13"/>
        <v/>
      </c>
      <c r="L98" s="16" t="str">
        <f>IF(ISNUMBER(C98),IF(AND(RESULTS!$C$39&lt;=C98,C98&lt;=RESULTS!$D$39),E98,""),"")</f>
        <v/>
      </c>
      <c r="M98" s="16" t="str">
        <f t="shared" ca="1" si="14"/>
        <v/>
      </c>
      <c r="N98" s="16" t="str">
        <f>IF(ISNUMBER(C98),IF(AND(RESULTS!$C$40&lt;=C98,C98&lt;=RESULTS!$D$40),E98,""),"")</f>
        <v/>
      </c>
      <c r="O98" s="16" t="str">
        <f t="shared" ca="1" si="15"/>
        <v/>
      </c>
    </row>
    <row r="99" spans="1:15" x14ac:dyDescent="0.25">
      <c r="A99" s="14">
        <v>48.5</v>
      </c>
      <c r="B99" s="14">
        <v>2</v>
      </c>
      <c r="C99" s="58">
        <f t="shared" si="8"/>
        <v>48.5</v>
      </c>
      <c r="D99" s="58">
        <f t="shared" si="9"/>
        <v>2</v>
      </c>
      <c r="E99" s="15">
        <f t="shared" ca="1" si="10"/>
        <v>0</v>
      </c>
      <c r="F99" s="16" t="str">
        <f>IF(ISNUMBER(C99),IF(AND(RESULTS!$C$36&lt;=C99,C99&lt;=RESULTS!$D$36),E99,""),"")</f>
        <v/>
      </c>
      <c r="G99" s="16" t="str">
        <f t="shared" ca="1" si="11"/>
        <v/>
      </c>
      <c r="H99" s="16" t="str">
        <f>IF(ISNUMBER(C99),IF(AND(RESULTS!$C$37&lt;=C99,C99&lt;=RESULTS!$D$37),E99,""),"")</f>
        <v/>
      </c>
      <c r="I99" s="16" t="str">
        <f t="shared" ca="1" si="12"/>
        <v/>
      </c>
      <c r="J99" s="16" t="str">
        <f>IF(ISNUMBER(C99),IF(AND(RESULTS!$C$38&lt;=C99,C99&lt;=RESULTS!$D$38),E99,""),"")</f>
        <v/>
      </c>
      <c r="K99" s="16" t="str">
        <f t="shared" ca="1" si="13"/>
        <v/>
      </c>
      <c r="L99" s="16" t="str">
        <f>IF(ISNUMBER(C99),IF(AND(RESULTS!$C$39&lt;=C99,C99&lt;=RESULTS!$D$39),E99,""),"")</f>
        <v/>
      </c>
      <c r="M99" s="16" t="str">
        <f t="shared" ca="1" si="14"/>
        <v/>
      </c>
      <c r="N99" s="16" t="str">
        <f>IF(ISNUMBER(C99),IF(AND(RESULTS!$C$40&lt;=C99,C99&lt;=RESULTS!$D$40),E99,""),"")</f>
        <v/>
      </c>
      <c r="O99" s="16" t="str">
        <f t="shared" ca="1" si="15"/>
        <v/>
      </c>
    </row>
    <row r="100" spans="1:15" x14ac:dyDescent="0.25">
      <c r="A100" s="14">
        <v>49</v>
      </c>
      <c r="B100" s="14">
        <v>6</v>
      </c>
      <c r="C100" s="58">
        <f t="shared" si="8"/>
        <v>49</v>
      </c>
      <c r="D100" s="58">
        <f t="shared" si="9"/>
        <v>6</v>
      </c>
      <c r="E100" s="15">
        <f t="shared" ca="1" si="10"/>
        <v>2.7804878048780486</v>
      </c>
      <c r="F100" s="16" t="str">
        <f>IF(ISNUMBER(C100),IF(AND(RESULTS!$C$36&lt;=C100,C100&lt;=RESULTS!$D$36),E100,""),"")</f>
        <v/>
      </c>
      <c r="G100" s="16" t="str">
        <f t="shared" ca="1" si="11"/>
        <v/>
      </c>
      <c r="H100" s="16" t="str">
        <f>IF(ISNUMBER(C100),IF(AND(RESULTS!$C$37&lt;=C100,C100&lt;=RESULTS!$D$37),E100,""),"")</f>
        <v/>
      </c>
      <c r="I100" s="16" t="str">
        <f t="shared" ca="1" si="12"/>
        <v/>
      </c>
      <c r="J100" s="16" t="str">
        <f>IF(ISNUMBER(C100),IF(AND(RESULTS!$C$38&lt;=C100,C100&lt;=RESULTS!$D$38),E100,""),"")</f>
        <v/>
      </c>
      <c r="K100" s="16" t="str">
        <f t="shared" ca="1" si="13"/>
        <v/>
      </c>
      <c r="L100" s="16" t="str">
        <f>IF(ISNUMBER(C100),IF(AND(RESULTS!$C$39&lt;=C100,C100&lt;=RESULTS!$D$39),E100,""),"")</f>
        <v/>
      </c>
      <c r="M100" s="16" t="str">
        <f t="shared" ca="1" si="14"/>
        <v/>
      </c>
      <c r="N100" s="16" t="str">
        <f>IF(ISNUMBER(C100),IF(AND(RESULTS!$C$40&lt;=C100,C100&lt;=RESULTS!$D$40),E100,""),"")</f>
        <v/>
      </c>
      <c r="O100" s="16" t="str">
        <f t="shared" ca="1" si="15"/>
        <v/>
      </c>
    </row>
    <row r="101" spans="1:15" x14ac:dyDescent="0.25">
      <c r="A101" s="14">
        <v>49.5</v>
      </c>
      <c r="B101" s="14">
        <v>2</v>
      </c>
      <c r="C101" s="58">
        <f t="shared" si="8"/>
        <v>49.5</v>
      </c>
      <c r="D101" s="58">
        <f t="shared" si="9"/>
        <v>2</v>
      </c>
      <c r="E101" s="15">
        <f t="shared" ca="1" si="10"/>
        <v>0</v>
      </c>
      <c r="F101" s="16" t="str">
        <f>IF(ISNUMBER(C101),IF(AND(RESULTS!$C$36&lt;=C101,C101&lt;=RESULTS!$D$36),E101,""),"")</f>
        <v/>
      </c>
      <c r="G101" s="16" t="str">
        <f t="shared" ca="1" si="11"/>
        <v/>
      </c>
      <c r="H101" s="16" t="str">
        <f>IF(ISNUMBER(C101),IF(AND(RESULTS!$C$37&lt;=C101,C101&lt;=RESULTS!$D$37),E101,""),"")</f>
        <v/>
      </c>
      <c r="I101" s="16" t="str">
        <f t="shared" ca="1" si="12"/>
        <v/>
      </c>
      <c r="J101" s="16" t="str">
        <f>IF(ISNUMBER(C101),IF(AND(RESULTS!$C$38&lt;=C101,C101&lt;=RESULTS!$D$38),E101,""),"")</f>
        <v/>
      </c>
      <c r="K101" s="16" t="str">
        <f t="shared" ca="1" si="13"/>
        <v/>
      </c>
      <c r="L101" s="16" t="str">
        <f>IF(ISNUMBER(C101),IF(AND(RESULTS!$C$39&lt;=C101,C101&lt;=RESULTS!$D$39),E101,""),"")</f>
        <v/>
      </c>
      <c r="M101" s="16" t="str">
        <f t="shared" ca="1" si="14"/>
        <v/>
      </c>
      <c r="N101" s="16" t="str">
        <f>IF(ISNUMBER(C101),IF(AND(RESULTS!$C$40&lt;=C101,C101&lt;=RESULTS!$D$40),E101,""),"")</f>
        <v/>
      </c>
      <c r="O101" s="16" t="str">
        <f t="shared" ca="1" si="15"/>
        <v/>
      </c>
    </row>
    <row r="102" spans="1:15" x14ac:dyDescent="0.25">
      <c r="A102" s="14">
        <v>50</v>
      </c>
      <c r="B102" s="14">
        <v>2</v>
      </c>
      <c r="C102" s="58">
        <f t="shared" si="8"/>
        <v>50</v>
      </c>
      <c r="D102" s="58">
        <f t="shared" si="9"/>
        <v>2</v>
      </c>
      <c r="E102" s="15">
        <f t="shared" ca="1" si="10"/>
        <v>0</v>
      </c>
      <c r="F102" s="16" t="str">
        <f>IF(ISNUMBER(C102),IF(AND(RESULTS!$C$36&lt;=C102,C102&lt;=RESULTS!$D$36),E102,""),"")</f>
        <v/>
      </c>
      <c r="G102" s="16" t="str">
        <f t="shared" ca="1" si="11"/>
        <v/>
      </c>
      <c r="H102" s="16" t="str">
        <f>IF(ISNUMBER(C102),IF(AND(RESULTS!$C$37&lt;=C102,C102&lt;=RESULTS!$D$37),E102,""),"")</f>
        <v/>
      </c>
      <c r="I102" s="16" t="str">
        <f t="shared" ca="1" si="12"/>
        <v/>
      </c>
      <c r="J102" s="16" t="str">
        <f>IF(ISNUMBER(C102),IF(AND(RESULTS!$C$38&lt;=C102,C102&lt;=RESULTS!$D$38),E102,""),"")</f>
        <v/>
      </c>
      <c r="K102" s="16" t="str">
        <f t="shared" ca="1" si="13"/>
        <v/>
      </c>
      <c r="L102" s="16" t="str">
        <f>IF(ISNUMBER(C102),IF(AND(RESULTS!$C$39&lt;=C102,C102&lt;=RESULTS!$D$39),E102,""),"")</f>
        <v/>
      </c>
      <c r="M102" s="16" t="str">
        <f t="shared" ca="1" si="14"/>
        <v/>
      </c>
      <c r="N102" s="16" t="str">
        <f>IF(ISNUMBER(C102),IF(AND(RESULTS!$C$40&lt;=C102,C102&lt;=RESULTS!$D$40),E102,""),"")</f>
        <v/>
      </c>
      <c r="O102" s="16" t="str">
        <f t="shared" ca="1" si="15"/>
        <v/>
      </c>
    </row>
    <row r="103" spans="1:15" x14ac:dyDescent="0.25">
      <c r="A103" s="14">
        <v>50.5</v>
      </c>
      <c r="B103" s="14">
        <v>2</v>
      </c>
      <c r="C103" s="58">
        <f t="shared" si="8"/>
        <v>50.5</v>
      </c>
      <c r="D103" s="58">
        <f t="shared" si="9"/>
        <v>2</v>
      </c>
      <c r="E103" s="15">
        <f t="shared" ca="1" si="10"/>
        <v>0</v>
      </c>
      <c r="F103" s="16" t="str">
        <f>IF(ISNUMBER(C103),IF(AND(RESULTS!$C$36&lt;=C103,C103&lt;=RESULTS!$D$36),E103,""),"")</f>
        <v/>
      </c>
      <c r="G103" s="16" t="str">
        <f t="shared" ca="1" si="11"/>
        <v/>
      </c>
      <c r="H103" s="16" t="str">
        <f>IF(ISNUMBER(C103),IF(AND(RESULTS!$C$37&lt;=C103,C103&lt;=RESULTS!$D$37),E103,""),"")</f>
        <v/>
      </c>
      <c r="I103" s="16" t="str">
        <f t="shared" ca="1" si="12"/>
        <v/>
      </c>
      <c r="J103" s="16" t="str">
        <f>IF(ISNUMBER(C103),IF(AND(RESULTS!$C$38&lt;=C103,C103&lt;=RESULTS!$D$38),E103,""),"")</f>
        <v/>
      </c>
      <c r="K103" s="16" t="str">
        <f t="shared" ca="1" si="13"/>
        <v/>
      </c>
      <c r="L103" s="16" t="str">
        <f>IF(ISNUMBER(C103),IF(AND(RESULTS!$C$39&lt;=C103,C103&lt;=RESULTS!$D$39),E103,""),"")</f>
        <v/>
      </c>
      <c r="M103" s="16" t="str">
        <f t="shared" ca="1" si="14"/>
        <v/>
      </c>
      <c r="N103" s="16" t="str">
        <f>IF(ISNUMBER(C103),IF(AND(RESULTS!$C$40&lt;=C103,C103&lt;=RESULTS!$D$40),E103,""),"")</f>
        <v/>
      </c>
      <c r="O103" s="16" t="str">
        <f t="shared" ca="1" si="15"/>
        <v/>
      </c>
    </row>
    <row r="104" spans="1:15" x14ac:dyDescent="0.25">
      <c r="A104" s="14">
        <v>51</v>
      </c>
      <c r="B104" s="14">
        <v>7</v>
      </c>
      <c r="C104" s="58">
        <f t="shared" si="8"/>
        <v>51</v>
      </c>
      <c r="D104" s="58">
        <f t="shared" si="9"/>
        <v>7</v>
      </c>
      <c r="E104" s="15">
        <f t="shared" ca="1" si="10"/>
        <v>3.7804878048780486</v>
      </c>
      <c r="F104" s="16" t="str">
        <f>IF(ISNUMBER(C104),IF(AND(RESULTS!$C$36&lt;=C104,C104&lt;=RESULTS!$D$36),E104,""),"")</f>
        <v/>
      </c>
      <c r="G104" s="16" t="str">
        <f t="shared" ca="1" si="11"/>
        <v/>
      </c>
      <c r="H104" s="16" t="str">
        <f>IF(ISNUMBER(C104),IF(AND(RESULTS!$C$37&lt;=C104,C104&lt;=RESULTS!$D$37),E104,""),"")</f>
        <v/>
      </c>
      <c r="I104" s="16" t="str">
        <f t="shared" ca="1" si="12"/>
        <v/>
      </c>
      <c r="J104" s="16" t="str">
        <f>IF(ISNUMBER(C104),IF(AND(RESULTS!$C$38&lt;=C104,C104&lt;=RESULTS!$D$38),E104,""),"")</f>
        <v/>
      </c>
      <c r="K104" s="16" t="str">
        <f t="shared" ca="1" si="13"/>
        <v/>
      </c>
      <c r="L104" s="16" t="str">
        <f>IF(ISNUMBER(C104),IF(AND(RESULTS!$C$39&lt;=C104,C104&lt;=RESULTS!$D$39),E104,""),"")</f>
        <v/>
      </c>
      <c r="M104" s="16" t="str">
        <f t="shared" ca="1" si="14"/>
        <v/>
      </c>
      <c r="N104" s="16" t="str">
        <f>IF(ISNUMBER(C104),IF(AND(RESULTS!$C$40&lt;=C104,C104&lt;=RESULTS!$D$40),E104,""),"")</f>
        <v/>
      </c>
      <c r="O104" s="16" t="str">
        <f t="shared" ca="1" si="15"/>
        <v/>
      </c>
    </row>
    <row r="105" spans="1:15" x14ac:dyDescent="0.25">
      <c r="A105" s="14">
        <v>51.5</v>
      </c>
      <c r="B105" s="14">
        <v>1</v>
      </c>
      <c r="C105" s="58">
        <f t="shared" si="8"/>
        <v>51.5</v>
      </c>
      <c r="D105" s="58">
        <f t="shared" si="9"/>
        <v>1</v>
      </c>
      <c r="E105" s="15">
        <f t="shared" ca="1" si="10"/>
        <v>0</v>
      </c>
      <c r="F105" s="16" t="str">
        <f>IF(ISNUMBER(C105),IF(AND(RESULTS!$C$36&lt;=C105,C105&lt;=RESULTS!$D$36),E105,""),"")</f>
        <v/>
      </c>
      <c r="G105" s="16" t="str">
        <f t="shared" ca="1" si="11"/>
        <v/>
      </c>
      <c r="H105" s="16" t="str">
        <f>IF(ISNUMBER(C105),IF(AND(RESULTS!$C$37&lt;=C105,C105&lt;=RESULTS!$D$37),E105,""),"")</f>
        <v/>
      </c>
      <c r="I105" s="16" t="str">
        <f t="shared" ca="1" si="12"/>
        <v/>
      </c>
      <c r="J105" s="16" t="str">
        <f>IF(ISNUMBER(C105),IF(AND(RESULTS!$C$38&lt;=C105,C105&lt;=RESULTS!$D$38),E105,""),"")</f>
        <v/>
      </c>
      <c r="K105" s="16" t="str">
        <f t="shared" ca="1" si="13"/>
        <v/>
      </c>
      <c r="L105" s="16" t="str">
        <f>IF(ISNUMBER(C105),IF(AND(RESULTS!$C$39&lt;=C105,C105&lt;=RESULTS!$D$39),E105,""),"")</f>
        <v/>
      </c>
      <c r="M105" s="16" t="str">
        <f t="shared" ca="1" si="14"/>
        <v/>
      </c>
      <c r="N105" s="16" t="str">
        <f>IF(ISNUMBER(C105),IF(AND(RESULTS!$C$40&lt;=C105,C105&lt;=RESULTS!$D$40),E105,""),"")</f>
        <v/>
      </c>
      <c r="O105" s="16" t="str">
        <f t="shared" ca="1" si="15"/>
        <v/>
      </c>
    </row>
    <row r="106" spans="1:15" x14ac:dyDescent="0.25">
      <c r="A106" s="14">
        <v>52</v>
      </c>
      <c r="B106" s="14">
        <v>0</v>
      </c>
      <c r="C106" s="58">
        <f t="shared" si="8"/>
        <v>52</v>
      </c>
      <c r="D106" s="58">
        <f t="shared" si="9"/>
        <v>0</v>
      </c>
      <c r="E106" s="15">
        <f t="shared" ca="1" si="10"/>
        <v>0</v>
      </c>
      <c r="F106" s="16" t="str">
        <f>IF(ISNUMBER(C106),IF(AND(RESULTS!$C$36&lt;=C106,C106&lt;=RESULTS!$D$36),E106,""),"")</f>
        <v/>
      </c>
      <c r="G106" s="16" t="str">
        <f t="shared" ca="1" si="11"/>
        <v/>
      </c>
      <c r="H106" s="16" t="str">
        <f>IF(ISNUMBER(C106),IF(AND(RESULTS!$C$37&lt;=C106,C106&lt;=RESULTS!$D$37),E106,""),"")</f>
        <v/>
      </c>
      <c r="I106" s="16" t="str">
        <f t="shared" ca="1" si="12"/>
        <v/>
      </c>
      <c r="J106" s="16" t="str">
        <f>IF(ISNUMBER(C106),IF(AND(RESULTS!$C$38&lt;=C106,C106&lt;=RESULTS!$D$38),E106,""),"")</f>
        <v/>
      </c>
      <c r="K106" s="16" t="str">
        <f t="shared" ca="1" si="13"/>
        <v/>
      </c>
      <c r="L106" s="16" t="str">
        <f>IF(ISNUMBER(C106),IF(AND(RESULTS!$C$39&lt;=C106,C106&lt;=RESULTS!$D$39),E106,""),"")</f>
        <v/>
      </c>
      <c r="M106" s="16" t="str">
        <f t="shared" ca="1" si="14"/>
        <v/>
      </c>
      <c r="N106" s="16" t="str">
        <f>IF(ISNUMBER(C106),IF(AND(RESULTS!$C$40&lt;=C106,C106&lt;=RESULTS!$D$40),E106,""),"")</f>
        <v/>
      </c>
      <c r="O106" s="16" t="str">
        <f t="shared" ca="1" si="15"/>
        <v/>
      </c>
    </row>
    <row r="107" spans="1:15" x14ac:dyDescent="0.25">
      <c r="A107" s="14">
        <v>52.5</v>
      </c>
      <c r="B107" s="14">
        <v>5</v>
      </c>
      <c r="C107" s="58">
        <f t="shared" si="8"/>
        <v>52.5</v>
      </c>
      <c r="D107" s="58">
        <f t="shared" si="9"/>
        <v>5</v>
      </c>
      <c r="E107" s="15">
        <f t="shared" ca="1" si="10"/>
        <v>1.7804878048780486</v>
      </c>
      <c r="F107" s="16" t="str">
        <f>IF(ISNUMBER(C107),IF(AND(RESULTS!$C$36&lt;=C107,C107&lt;=RESULTS!$D$36),E107,""),"")</f>
        <v/>
      </c>
      <c r="G107" s="16" t="str">
        <f t="shared" ca="1" si="11"/>
        <v/>
      </c>
      <c r="H107" s="16" t="str">
        <f>IF(ISNUMBER(C107),IF(AND(RESULTS!$C$37&lt;=C107,C107&lt;=RESULTS!$D$37),E107,""),"")</f>
        <v/>
      </c>
      <c r="I107" s="16" t="str">
        <f t="shared" ca="1" si="12"/>
        <v/>
      </c>
      <c r="J107" s="16" t="str">
        <f>IF(ISNUMBER(C107),IF(AND(RESULTS!$C$38&lt;=C107,C107&lt;=RESULTS!$D$38),E107,""),"")</f>
        <v/>
      </c>
      <c r="K107" s="16" t="str">
        <f t="shared" ca="1" si="13"/>
        <v/>
      </c>
      <c r="L107" s="16" t="str">
        <f>IF(ISNUMBER(C107),IF(AND(RESULTS!$C$39&lt;=C107,C107&lt;=RESULTS!$D$39),E107,""),"")</f>
        <v/>
      </c>
      <c r="M107" s="16" t="str">
        <f t="shared" ca="1" si="14"/>
        <v/>
      </c>
      <c r="N107" s="16" t="str">
        <f>IF(ISNUMBER(C107),IF(AND(RESULTS!$C$40&lt;=C107,C107&lt;=RESULTS!$D$40),E107,""),"")</f>
        <v/>
      </c>
      <c r="O107" s="16" t="str">
        <f t="shared" ca="1" si="15"/>
        <v/>
      </c>
    </row>
    <row r="108" spans="1:15" x14ac:dyDescent="0.25">
      <c r="A108" s="14">
        <v>53</v>
      </c>
      <c r="B108" s="14">
        <v>5</v>
      </c>
      <c r="C108" s="58">
        <f t="shared" si="8"/>
        <v>53</v>
      </c>
      <c r="D108" s="58">
        <f t="shared" si="9"/>
        <v>5</v>
      </c>
      <c r="E108" s="15">
        <f t="shared" ca="1" si="10"/>
        <v>1.7804878048780486</v>
      </c>
      <c r="F108" s="16" t="str">
        <f>IF(ISNUMBER(C108),IF(AND(RESULTS!$C$36&lt;=C108,C108&lt;=RESULTS!$D$36),E108,""),"")</f>
        <v/>
      </c>
      <c r="G108" s="16" t="str">
        <f t="shared" ca="1" si="11"/>
        <v/>
      </c>
      <c r="H108" s="16" t="str">
        <f>IF(ISNUMBER(C108),IF(AND(RESULTS!$C$37&lt;=C108,C108&lt;=RESULTS!$D$37),E108,""),"")</f>
        <v/>
      </c>
      <c r="I108" s="16" t="str">
        <f t="shared" ca="1" si="12"/>
        <v/>
      </c>
      <c r="J108" s="16" t="str">
        <f>IF(ISNUMBER(C108),IF(AND(RESULTS!$C$38&lt;=C108,C108&lt;=RESULTS!$D$38),E108,""),"")</f>
        <v/>
      </c>
      <c r="K108" s="16" t="str">
        <f t="shared" ca="1" si="13"/>
        <v/>
      </c>
      <c r="L108" s="16" t="str">
        <f>IF(ISNUMBER(C108),IF(AND(RESULTS!$C$39&lt;=C108,C108&lt;=RESULTS!$D$39),E108,""),"")</f>
        <v/>
      </c>
      <c r="M108" s="16" t="str">
        <f t="shared" ca="1" si="14"/>
        <v/>
      </c>
      <c r="N108" s="16" t="str">
        <f>IF(ISNUMBER(C108),IF(AND(RESULTS!$C$40&lt;=C108,C108&lt;=RESULTS!$D$40),E108,""),"")</f>
        <v/>
      </c>
      <c r="O108" s="16" t="str">
        <f t="shared" ca="1" si="15"/>
        <v/>
      </c>
    </row>
    <row r="109" spans="1:15" x14ac:dyDescent="0.25">
      <c r="A109" s="14">
        <v>53.5</v>
      </c>
      <c r="B109" s="14">
        <v>1</v>
      </c>
      <c r="C109" s="58">
        <f t="shared" si="8"/>
        <v>53.5</v>
      </c>
      <c r="D109" s="58">
        <f t="shared" si="9"/>
        <v>1</v>
      </c>
      <c r="E109" s="15">
        <f t="shared" ca="1" si="10"/>
        <v>0</v>
      </c>
      <c r="F109" s="16" t="str">
        <f>IF(ISNUMBER(C109),IF(AND(RESULTS!$C$36&lt;=C109,C109&lt;=RESULTS!$D$36),E109,""),"")</f>
        <v/>
      </c>
      <c r="G109" s="16" t="str">
        <f t="shared" ca="1" si="11"/>
        <v/>
      </c>
      <c r="H109" s="16" t="str">
        <f>IF(ISNUMBER(C109),IF(AND(RESULTS!$C$37&lt;=C109,C109&lt;=RESULTS!$D$37),E109,""),"")</f>
        <v/>
      </c>
      <c r="I109" s="16" t="str">
        <f t="shared" ca="1" si="12"/>
        <v/>
      </c>
      <c r="J109" s="16" t="str">
        <f>IF(ISNUMBER(C109),IF(AND(RESULTS!$C$38&lt;=C109,C109&lt;=RESULTS!$D$38),E109,""),"")</f>
        <v/>
      </c>
      <c r="K109" s="16" t="str">
        <f t="shared" ca="1" si="13"/>
        <v/>
      </c>
      <c r="L109" s="16" t="str">
        <f>IF(ISNUMBER(C109),IF(AND(RESULTS!$C$39&lt;=C109,C109&lt;=RESULTS!$D$39),E109,""),"")</f>
        <v/>
      </c>
      <c r="M109" s="16" t="str">
        <f t="shared" ca="1" si="14"/>
        <v/>
      </c>
      <c r="N109" s="16" t="str">
        <f>IF(ISNUMBER(C109),IF(AND(RESULTS!$C$40&lt;=C109,C109&lt;=RESULTS!$D$40),E109,""),"")</f>
        <v/>
      </c>
      <c r="O109" s="16" t="str">
        <f t="shared" ca="1" si="15"/>
        <v/>
      </c>
    </row>
    <row r="110" spans="1:15" x14ac:dyDescent="0.25">
      <c r="A110" s="14">
        <v>54</v>
      </c>
      <c r="B110" s="14">
        <v>1</v>
      </c>
      <c r="C110" s="58">
        <f t="shared" si="8"/>
        <v>54</v>
      </c>
      <c r="D110" s="58">
        <f t="shared" si="9"/>
        <v>1</v>
      </c>
      <c r="E110" s="15">
        <f t="shared" ca="1" si="10"/>
        <v>0</v>
      </c>
      <c r="F110" s="16" t="str">
        <f>IF(ISNUMBER(C110),IF(AND(RESULTS!$C$36&lt;=C110,C110&lt;=RESULTS!$D$36),E110,""),"")</f>
        <v/>
      </c>
      <c r="G110" s="16" t="str">
        <f t="shared" ca="1" si="11"/>
        <v/>
      </c>
      <c r="H110" s="16" t="str">
        <f>IF(ISNUMBER(C110),IF(AND(RESULTS!$C$37&lt;=C110,C110&lt;=RESULTS!$D$37),E110,""),"")</f>
        <v/>
      </c>
      <c r="I110" s="16" t="str">
        <f t="shared" ca="1" si="12"/>
        <v/>
      </c>
      <c r="J110" s="16" t="str">
        <f>IF(ISNUMBER(C110),IF(AND(RESULTS!$C$38&lt;=C110,C110&lt;=RESULTS!$D$38),E110,""),"")</f>
        <v/>
      </c>
      <c r="K110" s="16" t="str">
        <f t="shared" ca="1" si="13"/>
        <v/>
      </c>
      <c r="L110" s="16" t="str">
        <f>IF(ISNUMBER(C110),IF(AND(RESULTS!$C$39&lt;=C110,C110&lt;=RESULTS!$D$39),E110,""),"")</f>
        <v/>
      </c>
      <c r="M110" s="16" t="str">
        <f t="shared" ca="1" si="14"/>
        <v/>
      </c>
      <c r="N110" s="16" t="str">
        <f>IF(ISNUMBER(C110),IF(AND(RESULTS!$C$40&lt;=C110,C110&lt;=RESULTS!$D$40),E110,""),"")</f>
        <v/>
      </c>
      <c r="O110" s="16" t="str">
        <f t="shared" ca="1" si="15"/>
        <v/>
      </c>
    </row>
    <row r="111" spans="1:15" x14ac:dyDescent="0.25">
      <c r="A111" s="14">
        <v>54.5</v>
      </c>
      <c r="B111" s="14">
        <v>0</v>
      </c>
      <c r="C111" s="58">
        <f t="shared" si="8"/>
        <v>54.5</v>
      </c>
      <c r="D111" s="58">
        <f t="shared" si="9"/>
        <v>0</v>
      </c>
      <c r="E111" s="15">
        <f t="shared" ca="1" si="10"/>
        <v>0</v>
      </c>
      <c r="F111" s="16" t="str">
        <f>IF(ISNUMBER(C111),IF(AND(RESULTS!$C$36&lt;=C111,C111&lt;=RESULTS!$D$36),E111,""),"")</f>
        <v/>
      </c>
      <c r="G111" s="16" t="str">
        <f t="shared" ca="1" si="11"/>
        <v/>
      </c>
      <c r="H111" s="16" t="str">
        <f>IF(ISNUMBER(C111),IF(AND(RESULTS!$C$37&lt;=C111,C111&lt;=RESULTS!$D$37),E111,""),"")</f>
        <v/>
      </c>
      <c r="I111" s="16" t="str">
        <f t="shared" ca="1" si="12"/>
        <v/>
      </c>
      <c r="J111" s="16" t="str">
        <f>IF(ISNUMBER(C111),IF(AND(RESULTS!$C$38&lt;=C111,C111&lt;=RESULTS!$D$38),E111,""),"")</f>
        <v/>
      </c>
      <c r="K111" s="16" t="str">
        <f t="shared" ca="1" si="13"/>
        <v/>
      </c>
      <c r="L111" s="16" t="str">
        <f>IF(ISNUMBER(C111),IF(AND(RESULTS!$C$39&lt;=C111,C111&lt;=RESULTS!$D$39),E111,""),"")</f>
        <v/>
      </c>
      <c r="M111" s="16" t="str">
        <f t="shared" ca="1" si="14"/>
        <v/>
      </c>
      <c r="N111" s="16" t="str">
        <f>IF(ISNUMBER(C111),IF(AND(RESULTS!$C$40&lt;=C111,C111&lt;=RESULTS!$D$40),E111,""),"")</f>
        <v/>
      </c>
      <c r="O111" s="16" t="str">
        <f t="shared" ca="1" si="15"/>
        <v/>
      </c>
    </row>
    <row r="112" spans="1:15" x14ac:dyDescent="0.25">
      <c r="A112" s="14">
        <v>55</v>
      </c>
      <c r="B112" s="14">
        <v>1</v>
      </c>
      <c r="C112" s="58">
        <f t="shared" si="8"/>
        <v>55</v>
      </c>
      <c r="D112" s="58">
        <f t="shared" si="9"/>
        <v>1</v>
      </c>
      <c r="E112" s="15">
        <f t="shared" ca="1" si="10"/>
        <v>0</v>
      </c>
      <c r="F112" s="16" t="str">
        <f>IF(ISNUMBER(C112),IF(AND(RESULTS!$C$36&lt;=C112,C112&lt;=RESULTS!$D$36),E112,""),"")</f>
        <v/>
      </c>
      <c r="G112" s="16" t="str">
        <f t="shared" ca="1" si="11"/>
        <v/>
      </c>
      <c r="H112" s="16" t="str">
        <f>IF(ISNUMBER(C112),IF(AND(RESULTS!$C$37&lt;=C112,C112&lt;=RESULTS!$D$37),E112,""),"")</f>
        <v/>
      </c>
      <c r="I112" s="16" t="str">
        <f t="shared" ca="1" si="12"/>
        <v/>
      </c>
      <c r="J112" s="16" t="str">
        <f>IF(ISNUMBER(C112),IF(AND(RESULTS!$C$38&lt;=C112,C112&lt;=RESULTS!$D$38),E112,""),"")</f>
        <v/>
      </c>
      <c r="K112" s="16" t="str">
        <f t="shared" ca="1" si="13"/>
        <v/>
      </c>
      <c r="L112" s="16" t="str">
        <f>IF(ISNUMBER(C112),IF(AND(RESULTS!$C$39&lt;=C112,C112&lt;=RESULTS!$D$39),E112,""),"")</f>
        <v/>
      </c>
      <c r="M112" s="16" t="str">
        <f t="shared" ca="1" si="14"/>
        <v/>
      </c>
      <c r="N112" s="16" t="str">
        <f>IF(ISNUMBER(C112),IF(AND(RESULTS!$C$40&lt;=C112,C112&lt;=RESULTS!$D$40),E112,""),"")</f>
        <v/>
      </c>
      <c r="O112" s="16" t="str">
        <f t="shared" ca="1" si="15"/>
        <v/>
      </c>
    </row>
    <row r="113" spans="1:15" x14ac:dyDescent="0.25">
      <c r="A113" s="14">
        <v>55.5</v>
      </c>
      <c r="B113" s="14">
        <v>3</v>
      </c>
      <c r="C113" s="58">
        <f t="shared" si="8"/>
        <v>55.5</v>
      </c>
      <c r="D113" s="58">
        <f t="shared" si="9"/>
        <v>3</v>
      </c>
      <c r="E113" s="15">
        <f t="shared" ca="1" si="10"/>
        <v>0</v>
      </c>
      <c r="F113" s="16" t="str">
        <f>IF(ISNUMBER(C113),IF(AND(RESULTS!$C$36&lt;=C113,C113&lt;=RESULTS!$D$36),E113,""),"")</f>
        <v/>
      </c>
      <c r="G113" s="16" t="str">
        <f t="shared" ca="1" si="11"/>
        <v/>
      </c>
      <c r="H113" s="16" t="str">
        <f>IF(ISNUMBER(C113),IF(AND(RESULTS!$C$37&lt;=C113,C113&lt;=RESULTS!$D$37),E113,""),"")</f>
        <v/>
      </c>
      <c r="I113" s="16" t="str">
        <f t="shared" ca="1" si="12"/>
        <v/>
      </c>
      <c r="J113" s="16" t="str">
        <f>IF(ISNUMBER(C113),IF(AND(RESULTS!$C$38&lt;=C113,C113&lt;=RESULTS!$D$38),E113,""),"")</f>
        <v/>
      </c>
      <c r="K113" s="16" t="str">
        <f t="shared" ca="1" si="13"/>
        <v/>
      </c>
      <c r="L113" s="16" t="str">
        <f>IF(ISNUMBER(C113),IF(AND(RESULTS!$C$39&lt;=C113,C113&lt;=RESULTS!$D$39),E113,""),"")</f>
        <v/>
      </c>
      <c r="M113" s="16" t="str">
        <f t="shared" ca="1" si="14"/>
        <v/>
      </c>
      <c r="N113" s="16" t="str">
        <f>IF(ISNUMBER(C113),IF(AND(RESULTS!$C$40&lt;=C113,C113&lt;=RESULTS!$D$40),E113,""),"")</f>
        <v/>
      </c>
      <c r="O113" s="16" t="str">
        <f t="shared" ca="1" si="15"/>
        <v/>
      </c>
    </row>
    <row r="114" spans="1:15" x14ac:dyDescent="0.25">
      <c r="A114" s="14">
        <v>56</v>
      </c>
      <c r="B114" s="14">
        <v>1</v>
      </c>
      <c r="C114" s="58">
        <f t="shared" si="8"/>
        <v>56</v>
      </c>
      <c r="D114" s="58">
        <f t="shared" si="9"/>
        <v>1</v>
      </c>
      <c r="E114" s="15">
        <f t="shared" ca="1" si="10"/>
        <v>0</v>
      </c>
      <c r="F114" s="16" t="str">
        <f>IF(ISNUMBER(C114),IF(AND(RESULTS!$C$36&lt;=C114,C114&lt;=RESULTS!$D$36),E114,""),"")</f>
        <v/>
      </c>
      <c r="G114" s="16" t="str">
        <f t="shared" ca="1" si="11"/>
        <v/>
      </c>
      <c r="H114" s="16" t="str">
        <f>IF(ISNUMBER(C114),IF(AND(RESULTS!$C$37&lt;=C114,C114&lt;=RESULTS!$D$37),E114,""),"")</f>
        <v/>
      </c>
      <c r="I114" s="16" t="str">
        <f t="shared" ca="1" si="12"/>
        <v/>
      </c>
      <c r="J114" s="16" t="str">
        <f>IF(ISNUMBER(C114),IF(AND(RESULTS!$C$38&lt;=C114,C114&lt;=RESULTS!$D$38),E114,""),"")</f>
        <v/>
      </c>
      <c r="K114" s="16" t="str">
        <f t="shared" ca="1" si="13"/>
        <v/>
      </c>
      <c r="L114" s="16" t="str">
        <f>IF(ISNUMBER(C114),IF(AND(RESULTS!$C$39&lt;=C114,C114&lt;=RESULTS!$D$39),E114,""),"")</f>
        <v/>
      </c>
      <c r="M114" s="16" t="str">
        <f t="shared" ca="1" si="14"/>
        <v/>
      </c>
      <c r="N114" s="16" t="str">
        <f>IF(ISNUMBER(C114),IF(AND(RESULTS!$C$40&lt;=C114,C114&lt;=RESULTS!$D$40),E114,""),"")</f>
        <v/>
      </c>
      <c r="O114" s="16" t="str">
        <f t="shared" ca="1" si="15"/>
        <v/>
      </c>
    </row>
    <row r="115" spans="1:15" x14ac:dyDescent="0.25">
      <c r="A115" s="14">
        <v>56.5</v>
      </c>
      <c r="B115" s="14">
        <v>2</v>
      </c>
      <c r="C115" s="58">
        <f t="shared" si="8"/>
        <v>56.5</v>
      </c>
      <c r="D115" s="58">
        <f t="shared" si="9"/>
        <v>2</v>
      </c>
      <c r="E115" s="15">
        <f t="shared" ca="1" si="10"/>
        <v>0</v>
      </c>
      <c r="F115" s="16" t="str">
        <f>IF(ISNUMBER(C115),IF(AND(RESULTS!$C$36&lt;=C115,C115&lt;=RESULTS!$D$36),E115,""),"")</f>
        <v/>
      </c>
      <c r="G115" s="16" t="str">
        <f t="shared" ca="1" si="11"/>
        <v/>
      </c>
      <c r="H115" s="16" t="str">
        <f>IF(ISNUMBER(C115),IF(AND(RESULTS!$C$37&lt;=C115,C115&lt;=RESULTS!$D$37),E115,""),"")</f>
        <v/>
      </c>
      <c r="I115" s="16" t="str">
        <f t="shared" ca="1" si="12"/>
        <v/>
      </c>
      <c r="J115" s="16" t="str">
        <f>IF(ISNUMBER(C115),IF(AND(RESULTS!$C$38&lt;=C115,C115&lt;=RESULTS!$D$38),E115,""),"")</f>
        <v/>
      </c>
      <c r="K115" s="16" t="str">
        <f t="shared" ca="1" si="13"/>
        <v/>
      </c>
      <c r="L115" s="16" t="str">
        <f>IF(ISNUMBER(C115),IF(AND(RESULTS!$C$39&lt;=C115,C115&lt;=RESULTS!$D$39),E115,""),"")</f>
        <v/>
      </c>
      <c r="M115" s="16" t="str">
        <f t="shared" ca="1" si="14"/>
        <v/>
      </c>
      <c r="N115" s="16" t="str">
        <f>IF(ISNUMBER(C115),IF(AND(RESULTS!$C$40&lt;=C115,C115&lt;=RESULTS!$D$40),E115,""),"")</f>
        <v/>
      </c>
      <c r="O115" s="16" t="str">
        <f t="shared" ca="1" si="15"/>
        <v/>
      </c>
    </row>
    <row r="116" spans="1:15" x14ac:dyDescent="0.25">
      <c r="A116" s="14">
        <v>57</v>
      </c>
      <c r="B116" s="14">
        <v>3</v>
      </c>
      <c r="C116" s="58">
        <f t="shared" si="8"/>
        <v>57</v>
      </c>
      <c r="D116" s="58">
        <f t="shared" si="9"/>
        <v>3</v>
      </c>
      <c r="E116" s="15">
        <f t="shared" ca="1" si="10"/>
        <v>0</v>
      </c>
      <c r="F116" s="16" t="str">
        <f>IF(ISNUMBER(C116),IF(AND(RESULTS!$C$36&lt;=C116,C116&lt;=RESULTS!$D$36),E116,""),"")</f>
        <v/>
      </c>
      <c r="G116" s="16" t="str">
        <f t="shared" ca="1" si="11"/>
        <v/>
      </c>
      <c r="H116" s="16" t="str">
        <f>IF(ISNUMBER(C116),IF(AND(RESULTS!$C$37&lt;=C116,C116&lt;=RESULTS!$D$37),E116,""),"")</f>
        <v/>
      </c>
      <c r="I116" s="16" t="str">
        <f t="shared" ca="1" si="12"/>
        <v/>
      </c>
      <c r="J116" s="16" t="str">
        <f>IF(ISNUMBER(C116),IF(AND(RESULTS!$C$38&lt;=C116,C116&lt;=RESULTS!$D$38),E116,""),"")</f>
        <v/>
      </c>
      <c r="K116" s="16" t="str">
        <f t="shared" ca="1" si="13"/>
        <v/>
      </c>
      <c r="L116" s="16" t="str">
        <f>IF(ISNUMBER(C116),IF(AND(RESULTS!$C$39&lt;=C116,C116&lt;=RESULTS!$D$39),E116,""),"")</f>
        <v/>
      </c>
      <c r="M116" s="16" t="str">
        <f t="shared" ca="1" si="14"/>
        <v/>
      </c>
      <c r="N116" s="16" t="str">
        <f>IF(ISNUMBER(C116),IF(AND(RESULTS!$C$40&lt;=C116,C116&lt;=RESULTS!$D$40),E116,""),"")</f>
        <v/>
      </c>
      <c r="O116" s="16" t="str">
        <f t="shared" ca="1" si="15"/>
        <v/>
      </c>
    </row>
    <row r="117" spans="1:15" x14ac:dyDescent="0.25">
      <c r="A117" s="14">
        <v>57.5</v>
      </c>
      <c r="B117" s="14">
        <v>2</v>
      </c>
      <c r="C117" s="58">
        <f t="shared" si="8"/>
        <v>57.5</v>
      </c>
      <c r="D117" s="58">
        <f t="shared" si="9"/>
        <v>2</v>
      </c>
      <c r="E117" s="15">
        <f t="shared" ca="1" si="10"/>
        <v>0</v>
      </c>
      <c r="F117" s="16" t="str">
        <f>IF(ISNUMBER(C117),IF(AND(RESULTS!$C$36&lt;=C117,C117&lt;=RESULTS!$D$36),E117,""),"")</f>
        <v/>
      </c>
      <c r="G117" s="16" t="str">
        <f t="shared" ca="1" si="11"/>
        <v/>
      </c>
      <c r="H117" s="16" t="str">
        <f>IF(ISNUMBER(C117),IF(AND(RESULTS!$C$37&lt;=C117,C117&lt;=RESULTS!$D$37),E117,""),"")</f>
        <v/>
      </c>
      <c r="I117" s="16" t="str">
        <f t="shared" ca="1" si="12"/>
        <v/>
      </c>
      <c r="J117" s="16" t="str">
        <f>IF(ISNUMBER(C117),IF(AND(RESULTS!$C$38&lt;=C117,C117&lt;=RESULTS!$D$38),E117,""),"")</f>
        <v/>
      </c>
      <c r="K117" s="16" t="str">
        <f t="shared" ca="1" si="13"/>
        <v/>
      </c>
      <c r="L117" s="16" t="str">
        <f>IF(ISNUMBER(C117),IF(AND(RESULTS!$C$39&lt;=C117,C117&lt;=RESULTS!$D$39),E117,""),"")</f>
        <v/>
      </c>
      <c r="M117" s="16" t="str">
        <f t="shared" ca="1" si="14"/>
        <v/>
      </c>
      <c r="N117" s="16" t="str">
        <f>IF(ISNUMBER(C117),IF(AND(RESULTS!$C$40&lt;=C117,C117&lt;=RESULTS!$D$40),E117,""),"")</f>
        <v/>
      </c>
      <c r="O117" s="16" t="str">
        <f t="shared" ca="1" si="15"/>
        <v/>
      </c>
    </row>
    <row r="118" spans="1:15" x14ac:dyDescent="0.25">
      <c r="A118" s="14">
        <v>58</v>
      </c>
      <c r="B118" s="14">
        <v>4</v>
      </c>
      <c r="C118" s="58">
        <f t="shared" si="8"/>
        <v>58</v>
      </c>
      <c r="D118" s="58">
        <f t="shared" si="9"/>
        <v>4</v>
      </c>
      <c r="E118" s="15">
        <f t="shared" ca="1" si="10"/>
        <v>0.78048780487804859</v>
      </c>
      <c r="F118" s="16" t="str">
        <f>IF(ISNUMBER(C118),IF(AND(RESULTS!$C$36&lt;=C118,C118&lt;=RESULTS!$D$36),E118,""),"")</f>
        <v/>
      </c>
      <c r="G118" s="16" t="str">
        <f t="shared" ca="1" si="11"/>
        <v/>
      </c>
      <c r="H118" s="16" t="str">
        <f>IF(ISNUMBER(C118),IF(AND(RESULTS!$C$37&lt;=C118,C118&lt;=RESULTS!$D$37),E118,""),"")</f>
        <v/>
      </c>
      <c r="I118" s="16" t="str">
        <f t="shared" ca="1" si="12"/>
        <v/>
      </c>
      <c r="J118" s="16" t="str">
        <f>IF(ISNUMBER(C118),IF(AND(RESULTS!$C$38&lt;=C118,C118&lt;=RESULTS!$D$38),E118,""),"")</f>
        <v/>
      </c>
      <c r="K118" s="16" t="str">
        <f t="shared" ca="1" si="13"/>
        <v/>
      </c>
      <c r="L118" s="16" t="str">
        <f>IF(ISNUMBER(C118),IF(AND(RESULTS!$C$39&lt;=C118,C118&lt;=RESULTS!$D$39),E118,""),"")</f>
        <v/>
      </c>
      <c r="M118" s="16" t="str">
        <f t="shared" ca="1" si="14"/>
        <v/>
      </c>
      <c r="N118" s="16" t="str">
        <f>IF(ISNUMBER(C118),IF(AND(RESULTS!$C$40&lt;=C118,C118&lt;=RESULTS!$D$40),E118,""),"")</f>
        <v/>
      </c>
      <c r="O118" s="16" t="str">
        <f t="shared" ca="1" si="15"/>
        <v/>
      </c>
    </row>
    <row r="119" spans="1:15" x14ac:dyDescent="0.25">
      <c r="A119" s="14">
        <v>58.5</v>
      </c>
      <c r="B119" s="14">
        <v>4</v>
      </c>
      <c r="C119" s="58">
        <f t="shared" si="8"/>
        <v>58.5</v>
      </c>
      <c r="D119" s="58">
        <f t="shared" si="9"/>
        <v>4</v>
      </c>
      <c r="E119" s="15">
        <f t="shared" ca="1" si="10"/>
        <v>0.78048780487804859</v>
      </c>
      <c r="F119" s="16" t="str">
        <f>IF(ISNUMBER(C119),IF(AND(RESULTS!$C$36&lt;=C119,C119&lt;=RESULTS!$D$36),E119,""),"")</f>
        <v/>
      </c>
      <c r="G119" s="16" t="str">
        <f t="shared" ca="1" si="11"/>
        <v/>
      </c>
      <c r="H119" s="16" t="str">
        <f>IF(ISNUMBER(C119),IF(AND(RESULTS!$C$37&lt;=C119,C119&lt;=RESULTS!$D$37),E119,""),"")</f>
        <v/>
      </c>
      <c r="I119" s="16" t="str">
        <f t="shared" ca="1" si="12"/>
        <v/>
      </c>
      <c r="J119" s="16" t="str">
        <f>IF(ISNUMBER(C119),IF(AND(RESULTS!$C$38&lt;=C119,C119&lt;=RESULTS!$D$38),E119,""),"")</f>
        <v/>
      </c>
      <c r="K119" s="16" t="str">
        <f t="shared" ca="1" si="13"/>
        <v/>
      </c>
      <c r="L119" s="16" t="str">
        <f>IF(ISNUMBER(C119),IF(AND(RESULTS!$C$39&lt;=C119,C119&lt;=RESULTS!$D$39),E119,""),"")</f>
        <v/>
      </c>
      <c r="M119" s="16" t="str">
        <f t="shared" ca="1" si="14"/>
        <v/>
      </c>
      <c r="N119" s="16" t="str">
        <f>IF(ISNUMBER(C119),IF(AND(RESULTS!$C$40&lt;=C119,C119&lt;=RESULTS!$D$40),E119,""),"")</f>
        <v/>
      </c>
      <c r="O119" s="16" t="str">
        <f t="shared" ca="1" si="15"/>
        <v/>
      </c>
    </row>
    <row r="120" spans="1:15" x14ac:dyDescent="0.25">
      <c r="A120" s="14">
        <v>59</v>
      </c>
      <c r="B120" s="14">
        <v>1</v>
      </c>
      <c r="C120" s="58">
        <f t="shared" si="8"/>
        <v>59</v>
      </c>
      <c r="D120" s="58">
        <f t="shared" si="9"/>
        <v>1</v>
      </c>
      <c r="E120" s="15">
        <f t="shared" ca="1" si="10"/>
        <v>0</v>
      </c>
      <c r="F120" s="16" t="str">
        <f>IF(ISNUMBER(C120),IF(AND(RESULTS!$C$36&lt;=C120,C120&lt;=RESULTS!$D$36),E120,""),"")</f>
        <v/>
      </c>
      <c r="G120" s="16" t="str">
        <f t="shared" ca="1" si="11"/>
        <v/>
      </c>
      <c r="H120" s="16" t="str">
        <f>IF(ISNUMBER(C120),IF(AND(RESULTS!$C$37&lt;=C120,C120&lt;=RESULTS!$D$37),E120,""),"")</f>
        <v/>
      </c>
      <c r="I120" s="16" t="str">
        <f t="shared" ca="1" si="12"/>
        <v/>
      </c>
      <c r="J120" s="16" t="str">
        <f>IF(ISNUMBER(C120),IF(AND(RESULTS!$C$38&lt;=C120,C120&lt;=RESULTS!$D$38),E120,""),"")</f>
        <v/>
      </c>
      <c r="K120" s="16" t="str">
        <f t="shared" ca="1" si="13"/>
        <v/>
      </c>
      <c r="L120" s="16" t="str">
        <f>IF(ISNUMBER(C120),IF(AND(RESULTS!$C$39&lt;=C120,C120&lt;=RESULTS!$D$39),E120,""),"")</f>
        <v/>
      </c>
      <c r="M120" s="16" t="str">
        <f t="shared" ca="1" si="14"/>
        <v/>
      </c>
      <c r="N120" s="16" t="str">
        <f>IF(ISNUMBER(C120),IF(AND(RESULTS!$C$40&lt;=C120,C120&lt;=RESULTS!$D$40),E120,""),"")</f>
        <v/>
      </c>
      <c r="O120" s="16" t="str">
        <f t="shared" ca="1" si="15"/>
        <v/>
      </c>
    </row>
    <row r="121" spans="1:15" x14ac:dyDescent="0.25">
      <c r="A121" s="14">
        <v>59.5</v>
      </c>
      <c r="B121" s="14">
        <v>2</v>
      </c>
      <c r="C121" s="58">
        <f t="shared" si="8"/>
        <v>59.5</v>
      </c>
      <c r="D121" s="58">
        <f t="shared" si="9"/>
        <v>2</v>
      </c>
      <c r="E121" s="15">
        <f t="shared" ca="1" si="10"/>
        <v>0</v>
      </c>
      <c r="F121" s="16" t="str">
        <f>IF(ISNUMBER(C121),IF(AND(RESULTS!$C$36&lt;=C121,C121&lt;=RESULTS!$D$36),E121,""),"")</f>
        <v/>
      </c>
      <c r="G121" s="16" t="str">
        <f t="shared" ca="1" si="11"/>
        <v/>
      </c>
      <c r="H121" s="16" t="str">
        <f>IF(ISNUMBER(C121),IF(AND(RESULTS!$C$37&lt;=C121,C121&lt;=RESULTS!$D$37),E121,""),"")</f>
        <v/>
      </c>
      <c r="I121" s="16" t="str">
        <f t="shared" ca="1" si="12"/>
        <v/>
      </c>
      <c r="J121" s="16" t="str">
        <f>IF(ISNUMBER(C121),IF(AND(RESULTS!$C$38&lt;=C121,C121&lt;=RESULTS!$D$38),E121,""),"")</f>
        <v/>
      </c>
      <c r="K121" s="16" t="str">
        <f t="shared" ca="1" si="13"/>
        <v/>
      </c>
      <c r="L121" s="16" t="str">
        <f>IF(ISNUMBER(C121),IF(AND(RESULTS!$C$39&lt;=C121,C121&lt;=RESULTS!$D$39),E121,""),"")</f>
        <v/>
      </c>
      <c r="M121" s="16" t="str">
        <f t="shared" ca="1" si="14"/>
        <v/>
      </c>
      <c r="N121" s="16" t="str">
        <f>IF(ISNUMBER(C121),IF(AND(RESULTS!$C$40&lt;=C121,C121&lt;=RESULTS!$D$40),E121,""),"")</f>
        <v/>
      </c>
      <c r="O121" s="16" t="str">
        <f t="shared" ca="1" si="15"/>
        <v/>
      </c>
    </row>
    <row r="122" spans="1:15" x14ac:dyDescent="0.25">
      <c r="A122" s="14">
        <v>60</v>
      </c>
      <c r="B122" s="14">
        <v>3</v>
      </c>
      <c r="C122" s="58">
        <f t="shared" si="8"/>
        <v>60</v>
      </c>
      <c r="D122" s="58">
        <f t="shared" si="9"/>
        <v>3</v>
      </c>
      <c r="E122" s="15">
        <f t="shared" ca="1" si="10"/>
        <v>0</v>
      </c>
      <c r="F122" s="16" t="str">
        <f>IF(ISNUMBER(C122),IF(AND(RESULTS!$C$36&lt;=C122,C122&lt;=RESULTS!$D$36),E122,""),"")</f>
        <v/>
      </c>
      <c r="G122" s="16" t="str">
        <f t="shared" ca="1" si="11"/>
        <v/>
      </c>
      <c r="H122" s="16" t="str">
        <f>IF(ISNUMBER(C122),IF(AND(RESULTS!$C$37&lt;=C122,C122&lt;=RESULTS!$D$37),E122,""),"")</f>
        <v/>
      </c>
      <c r="I122" s="16" t="str">
        <f t="shared" ca="1" si="12"/>
        <v/>
      </c>
      <c r="J122" s="16" t="str">
        <f>IF(ISNUMBER(C122),IF(AND(RESULTS!$C$38&lt;=C122,C122&lt;=RESULTS!$D$38),E122,""),"")</f>
        <v/>
      </c>
      <c r="K122" s="16" t="str">
        <f t="shared" ca="1" si="13"/>
        <v/>
      </c>
      <c r="L122" s="16" t="str">
        <f>IF(ISNUMBER(C122),IF(AND(RESULTS!$C$39&lt;=C122,C122&lt;=RESULTS!$D$39),E122,""),"")</f>
        <v/>
      </c>
      <c r="M122" s="16" t="str">
        <f t="shared" ca="1" si="14"/>
        <v/>
      </c>
      <c r="N122" s="16" t="str">
        <f>IF(ISNUMBER(C122),IF(AND(RESULTS!$C$40&lt;=C122,C122&lt;=RESULTS!$D$40),E122,""),"")</f>
        <v/>
      </c>
      <c r="O122" s="16" t="str">
        <f t="shared" ca="1" si="15"/>
        <v/>
      </c>
    </row>
    <row r="123" spans="1:15" x14ac:dyDescent="0.25">
      <c r="A123" s="14">
        <v>60.5</v>
      </c>
      <c r="B123" s="14">
        <v>3</v>
      </c>
      <c r="C123" s="58">
        <f t="shared" si="8"/>
        <v>60.5</v>
      </c>
      <c r="D123" s="58">
        <f t="shared" si="9"/>
        <v>3</v>
      </c>
      <c r="E123" s="15">
        <f t="shared" ca="1" si="10"/>
        <v>0</v>
      </c>
      <c r="F123" s="16" t="str">
        <f>IF(ISNUMBER(C123),IF(AND(RESULTS!$C$36&lt;=C123,C123&lt;=RESULTS!$D$36),E123,""),"")</f>
        <v/>
      </c>
      <c r="G123" s="16" t="str">
        <f t="shared" ca="1" si="11"/>
        <v/>
      </c>
      <c r="H123" s="16" t="str">
        <f>IF(ISNUMBER(C123),IF(AND(RESULTS!$C$37&lt;=C123,C123&lt;=RESULTS!$D$37),E123,""),"")</f>
        <v/>
      </c>
      <c r="I123" s="16" t="str">
        <f t="shared" ca="1" si="12"/>
        <v/>
      </c>
      <c r="J123" s="16" t="str">
        <f>IF(ISNUMBER(C123),IF(AND(RESULTS!$C$38&lt;=C123,C123&lt;=RESULTS!$D$38),E123,""),"")</f>
        <v/>
      </c>
      <c r="K123" s="16" t="str">
        <f t="shared" ca="1" si="13"/>
        <v/>
      </c>
      <c r="L123" s="16" t="str">
        <f>IF(ISNUMBER(C123),IF(AND(RESULTS!$C$39&lt;=C123,C123&lt;=RESULTS!$D$39),E123,""),"")</f>
        <v/>
      </c>
      <c r="M123" s="16" t="str">
        <f t="shared" ca="1" si="14"/>
        <v/>
      </c>
      <c r="N123" s="16" t="str">
        <f>IF(ISNUMBER(C123),IF(AND(RESULTS!$C$40&lt;=C123,C123&lt;=RESULTS!$D$40),E123,""),"")</f>
        <v/>
      </c>
      <c r="O123" s="16" t="str">
        <f t="shared" ca="1" si="15"/>
        <v/>
      </c>
    </row>
    <row r="124" spans="1:15" x14ac:dyDescent="0.25">
      <c r="A124" s="14">
        <v>61</v>
      </c>
      <c r="B124" s="14">
        <v>2</v>
      </c>
      <c r="C124" s="58">
        <f t="shared" si="8"/>
        <v>61</v>
      </c>
      <c r="D124" s="58">
        <f t="shared" si="9"/>
        <v>2</v>
      </c>
      <c r="E124" s="15">
        <f t="shared" ca="1" si="10"/>
        <v>0</v>
      </c>
      <c r="F124" s="16" t="str">
        <f>IF(ISNUMBER(C124),IF(AND(RESULTS!$C$36&lt;=C124,C124&lt;=RESULTS!$D$36),E124,""),"")</f>
        <v/>
      </c>
      <c r="G124" s="16" t="str">
        <f t="shared" ca="1" si="11"/>
        <v/>
      </c>
      <c r="H124" s="16" t="str">
        <f>IF(ISNUMBER(C124),IF(AND(RESULTS!$C$37&lt;=C124,C124&lt;=RESULTS!$D$37),E124,""),"")</f>
        <v/>
      </c>
      <c r="I124" s="16" t="str">
        <f t="shared" ca="1" si="12"/>
        <v/>
      </c>
      <c r="J124" s="16" t="str">
        <f>IF(ISNUMBER(C124),IF(AND(RESULTS!$C$38&lt;=C124,C124&lt;=RESULTS!$D$38),E124,""),"")</f>
        <v/>
      </c>
      <c r="K124" s="16" t="str">
        <f t="shared" ca="1" si="13"/>
        <v/>
      </c>
      <c r="L124" s="16" t="str">
        <f>IF(ISNUMBER(C124),IF(AND(RESULTS!$C$39&lt;=C124,C124&lt;=RESULTS!$D$39),E124,""),"")</f>
        <v/>
      </c>
      <c r="M124" s="16" t="str">
        <f t="shared" ca="1" si="14"/>
        <v/>
      </c>
      <c r="N124" s="16" t="str">
        <f>IF(ISNUMBER(C124),IF(AND(RESULTS!$C$40&lt;=C124,C124&lt;=RESULTS!$D$40),E124,""),"")</f>
        <v/>
      </c>
      <c r="O124" s="16" t="str">
        <f t="shared" ca="1" si="15"/>
        <v/>
      </c>
    </row>
    <row r="125" spans="1:15" x14ac:dyDescent="0.25">
      <c r="A125" s="14">
        <v>61.5</v>
      </c>
      <c r="B125" s="14">
        <v>2</v>
      </c>
      <c r="C125" s="58">
        <f t="shared" si="8"/>
        <v>61.5</v>
      </c>
      <c r="D125" s="58">
        <f t="shared" si="9"/>
        <v>2</v>
      </c>
      <c r="E125" s="15">
        <f t="shared" ca="1" si="10"/>
        <v>0</v>
      </c>
      <c r="F125" s="16" t="str">
        <f>IF(ISNUMBER(C125),IF(AND(RESULTS!$C$36&lt;=C125,C125&lt;=RESULTS!$D$36),E125,""),"")</f>
        <v/>
      </c>
      <c r="G125" s="16" t="str">
        <f t="shared" ca="1" si="11"/>
        <v/>
      </c>
      <c r="H125" s="16" t="str">
        <f>IF(ISNUMBER(C125),IF(AND(RESULTS!$C$37&lt;=C125,C125&lt;=RESULTS!$D$37),E125,""),"")</f>
        <v/>
      </c>
      <c r="I125" s="16" t="str">
        <f t="shared" ca="1" si="12"/>
        <v/>
      </c>
      <c r="J125" s="16" t="str">
        <f>IF(ISNUMBER(C125),IF(AND(RESULTS!$C$38&lt;=C125,C125&lt;=RESULTS!$D$38),E125,""),"")</f>
        <v/>
      </c>
      <c r="K125" s="16" t="str">
        <f t="shared" ca="1" si="13"/>
        <v/>
      </c>
      <c r="L125" s="16" t="str">
        <f>IF(ISNUMBER(C125),IF(AND(RESULTS!$C$39&lt;=C125,C125&lt;=RESULTS!$D$39),E125,""),"")</f>
        <v/>
      </c>
      <c r="M125" s="16" t="str">
        <f t="shared" ca="1" si="14"/>
        <v/>
      </c>
      <c r="N125" s="16" t="str">
        <f>IF(ISNUMBER(C125),IF(AND(RESULTS!$C$40&lt;=C125,C125&lt;=RESULTS!$D$40),E125,""),"")</f>
        <v/>
      </c>
      <c r="O125" s="16" t="str">
        <f t="shared" ca="1" si="15"/>
        <v/>
      </c>
    </row>
    <row r="126" spans="1:15" x14ac:dyDescent="0.25">
      <c r="A126" s="14">
        <v>62</v>
      </c>
      <c r="B126" s="14">
        <v>3</v>
      </c>
      <c r="C126" s="58">
        <f t="shared" si="8"/>
        <v>62</v>
      </c>
      <c r="D126" s="58">
        <f t="shared" si="9"/>
        <v>3</v>
      </c>
      <c r="E126" s="15">
        <f t="shared" ca="1" si="10"/>
        <v>0</v>
      </c>
      <c r="F126" s="16" t="str">
        <f>IF(ISNUMBER(C126),IF(AND(RESULTS!$C$36&lt;=C126,C126&lt;=RESULTS!$D$36),E126,""),"")</f>
        <v/>
      </c>
      <c r="G126" s="16" t="str">
        <f t="shared" ca="1" si="11"/>
        <v/>
      </c>
      <c r="H126" s="16" t="str">
        <f>IF(ISNUMBER(C126),IF(AND(RESULTS!$C$37&lt;=C126,C126&lt;=RESULTS!$D$37),E126,""),"")</f>
        <v/>
      </c>
      <c r="I126" s="16" t="str">
        <f t="shared" ca="1" si="12"/>
        <v/>
      </c>
      <c r="J126" s="16" t="str">
        <f>IF(ISNUMBER(C126),IF(AND(RESULTS!$C$38&lt;=C126,C126&lt;=RESULTS!$D$38),E126,""),"")</f>
        <v/>
      </c>
      <c r="K126" s="16" t="str">
        <f t="shared" ca="1" si="13"/>
        <v/>
      </c>
      <c r="L126" s="16" t="str">
        <f>IF(ISNUMBER(C126),IF(AND(RESULTS!$C$39&lt;=C126,C126&lt;=RESULTS!$D$39),E126,""),"")</f>
        <v/>
      </c>
      <c r="M126" s="16" t="str">
        <f t="shared" ca="1" si="14"/>
        <v/>
      </c>
      <c r="N126" s="16" t="str">
        <f>IF(ISNUMBER(C126),IF(AND(RESULTS!$C$40&lt;=C126,C126&lt;=RESULTS!$D$40),E126,""),"")</f>
        <v/>
      </c>
      <c r="O126" s="16" t="str">
        <f t="shared" ca="1" si="15"/>
        <v/>
      </c>
    </row>
    <row r="127" spans="1:15" x14ac:dyDescent="0.25">
      <c r="A127" s="14">
        <v>62.5</v>
      </c>
      <c r="B127" s="14">
        <v>3</v>
      </c>
      <c r="C127" s="58">
        <f t="shared" si="8"/>
        <v>62.5</v>
      </c>
      <c r="D127" s="58">
        <f t="shared" si="9"/>
        <v>3</v>
      </c>
      <c r="E127" s="15">
        <f t="shared" ca="1" si="10"/>
        <v>0</v>
      </c>
      <c r="F127" s="16" t="str">
        <f>IF(ISNUMBER(C127),IF(AND(RESULTS!$C$36&lt;=C127,C127&lt;=RESULTS!$D$36),E127,""),"")</f>
        <v/>
      </c>
      <c r="G127" s="16" t="str">
        <f t="shared" ca="1" si="11"/>
        <v/>
      </c>
      <c r="H127" s="16" t="str">
        <f>IF(ISNUMBER(C127),IF(AND(RESULTS!$C$37&lt;=C127,C127&lt;=RESULTS!$D$37),E127,""),"")</f>
        <v/>
      </c>
      <c r="I127" s="16" t="str">
        <f t="shared" ca="1" si="12"/>
        <v/>
      </c>
      <c r="J127" s="16" t="str">
        <f>IF(ISNUMBER(C127),IF(AND(RESULTS!$C$38&lt;=C127,C127&lt;=RESULTS!$D$38),E127,""),"")</f>
        <v/>
      </c>
      <c r="K127" s="16" t="str">
        <f t="shared" ca="1" si="13"/>
        <v/>
      </c>
      <c r="L127" s="16" t="str">
        <f>IF(ISNUMBER(C127),IF(AND(RESULTS!$C$39&lt;=C127,C127&lt;=RESULTS!$D$39),E127,""),"")</f>
        <v/>
      </c>
      <c r="M127" s="16" t="str">
        <f t="shared" ca="1" si="14"/>
        <v/>
      </c>
      <c r="N127" s="16" t="str">
        <f>IF(ISNUMBER(C127),IF(AND(RESULTS!$C$40&lt;=C127,C127&lt;=RESULTS!$D$40),E127,""),"")</f>
        <v/>
      </c>
      <c r="O127" s="16" t="str">
        <f t="shared" ca="1" si="15"/>
        <v/>
      </c>
    </row>
    <row r="128" spans="1:15" x14ac:dyDescent="0.25">
      <c r="A128" s="14">
        <v>63</v>
      </c>
      <c r="B128" s="14">
        <v>3</v>
      </c>
      <c r="C128" s="58">
        <f t="shared" si="8"/>
        <v>63</v>
      </c>
      <c r="D128" s="58">
        <f t="shared" si="9"/>
        <v>3</v>
      </c>
      <c r="E128" s="15">
        <f t="shared" ca="1" si="10"/>
        <v>0</v>
      </c>
      <c r="F128" s="16" t="str">
        <f>IF(ISNUMBER(C128),IF(AND(RESULTS!$C$36&lt;=C128,C128&lt;=RESULTS!$D$36),E128,""),"")</f>
        <v/>
      </c>
      <c r="G128" s="16" t="str">
        <f t="shared" ca="1" si="11"/>
        <v/>
      </c>
      <c r="H128" s="16" t="str">
        <f>IF(ISNUMBER(C128),IF(AND(RESULTS!$C$37&lt;=C128,C128&lt;=RESULTS!$D$37),E128,""),"")</f>
        <v/>
      </c>
      <c r="I128" s="16" t="str">
        <f t="shared" ca="1" si="12"/>
        <v/>
      </c>
      <c r="J128" s="16" t="str">
        <f>IF(ISNUMBER(C128),IF(AND(RESULTS!$C$38&lt;=C128,C128&lt;=RESULTS!$D$38),E128,""),"")</f>
        <v/>
      </c>
      <c r="K128" s="16" t="str">
        <f t="shared" ca="1" si="13"/>
        <v/>
      </c>
      <c r="L128" s="16" t="str">
        <f>IF(ISNUMBER(C128),IF(AND(RESULTS!$C$39&lt;=C128,C128&lt;=RESULTS!$D$39),E128,""),"")</f>
        <v/>
      </c>
      <c r="M128" s="16" t="str">
        <f t="shared" ca="1" si="14"/>
        <v/>
      </c>
      <c r="N128" s="16" t="str">
        <f>IF(ISNUMBER(C128),IF(AND(RESULTS!$C$40&lt;=C128,C128&lt;=RESULTS!$D$40),E128,""),"")</f>
        <v/>
      </c>
      <c r="O128" s="16" t="str">
        <f t="shared" ca="1" si="15"/>
        <v/>
      </c>
    </row>
    <row r="129" spans="1:15" x14ac:dyDescent="0.25">
      <c r="A129" s="14">
        <v>63.5</v>
      </c>
      <c r="B129" s="14">
        <v>5</v>
      </c>
      <c r="C129" s="58">
        <f t="shared" si="8"/>
        <v>63.5</v>
      </c>
      <c r="D129" s="58">
        <f t="shared" si="9"/>
        <v>5</v>
      </c>
      <c r="E129" s="15">
        <f t="shared" ca="1" si="10"/>
        <v>1.7804878048780486</v>
      </c>
      <c r="F129" s="16" t="str">
        <f>IF(ISNUMBER(C129),IF(AND(RESULTS!$C$36&lt;=C129,C129&lt;=RESULTS!$D$36),E129,""),"")</f>
        <v/>
      </c>
      <c r="G129" s="16" t="str">
        <f t="shared" ca="1" si="11"/>
        <v/>
      </c>
      <c r="H129" s="16" t="str">
        <f>IF(ISNUMBER(C129),IF(AND(RESULTS!$C$37&lt;=C129,C129&lt;=RESULTS!$D$37),E129,""),"")</f>
        <v/>
      </c>
      <c r="I129" s="16" t="str">
        <f t="shared" ca="1" si="12"/>
        <v/>
      </c>
      <c r="J129" s="16" t="str">
        <f>IF(ISNUMBER(C129),IF(AND(RESULTS!$C$38&lt;=C129,C129&lt;=RESULTS!$D$38),E129,""),"")</f>
        <v/>
      </c>
      <c r="K129" s="16" t="str">
        <f t="shared" ca="1" si="13"/>
        <v/>
      </c>
      <c r="L129" s="16" t="str">
        <f>IF(ISNUMBER(C129),IF(AND(RESULTS!$C$39&lt;=C129,C129&lt;=RESULTS!$D$39),E129,""),"")</f>
        <v/>
      </c>
      <c r="M129" s="16" t="str">
        <f t="shared" ca="1" si="14"/>
        <v/>
      </c>
      <c r="N129" s="16" t="str">
        <f>IF(ISNUMBER(C129),IF(AND(RESULTS!$C$40&lt;=C129,C129&lt;=RESULTS!$D$40),E129,""),"")</f>
        <v/>
      </c>
      <c r="O129" s="16" t="str">
        <f t="shared" ca="1" si="15"/>
        <v/>
      </c>
    </row>
    <row r="130" spans="1:15" x14ac:dyDescent="0.25">
      <c r="A130" s="14">
        <v>64</v>
      </c>
      <c r="B130" s="14">
        <v>6</v>
      </c>
      <c r="C130" s="58">
        <f t="shared" si="8"/>
        <v>64</v>
      </c>
      <c r="D130" s="58">
        <f t="shared" si="9"/>
        <v>6</v>
      </c>
      <c r="E130" s="15">
        <f t="shared" ca="1" si="10"/>
        <v>2.7804878048780486</v>
      </c>
      <c r="F130" s="16" t="str">
        <f>IF(ISNUMBER(C130),IF(AND(RESULTS!$C$36&lt;=C130,C130&lt;=RESULTS!$D$36),E130,""),"")</f>
        <v/>
      </c>
      <c r="G130" s="16" t="str">
        <f t="shared" ca="1" si="11"/>
        <v/>
      </c>
      <c r="H130" s="16" t="str">
        <f>IF(ISNUMBER(C130),IF(AND(RESULTS!$C$37&lt;=C130,C130&lt;=RESULTS!$D$37),E130,""),"")</f>
        <v/>
      </c>
      <c r="I130" s="16" t="str">
        <f t="shared" ca="1" si="12"/>
        <v/>
      </c>
      <c r="J130" s="16" t="str">
        <f>IF(ISNUMBER(C130),IF(AND(RESULTS!$C$38&lt;=C130,C130&lt;=RESULTS!$D$38),E130,""),"")</f>
        <v/>
      </c>
      <c r="K130" s="16" t="str">
        <f t="shared" ca="1" si="13"/>
        <v/>
      </c>
      <c r="L130" s="16" t="str">
        <f>IF(ISNUMBER(C130),IF(AND(RESULTS!$C$39&lt;=C130,C130&lt;=RESULTS!$D$39),E130,""),"")</f>
        <v/>
      </c>
      <c r="M130" s="16" t="str">
        <f t="shared" ca="1" si="14"/>
        <v/>
      </c>
      <c r="N130" s="16" t="str">
        <f>IF(ISNUMBER(C130),IF(AND(RESULTS!$C$40&lt;=C130,C130&lt;=RESULTS!$D$40),E130,""),"")</f>
        <v/>
      </c>
      <c r="O130" s="16" t="str">
        <f t="shared" ca="1" si="15"/>
        <v/>
      </c>
    </row>
    <row r="131" spans="1:15" x14ac:dyDescent="0.25">
      <c r="A131" s="14">
        <v>64.5</v>
      </c>
      <c r="B131" s="14">
        <v>5</v>
      </c>
      <c r="C131" s="58">
        <f t="shared" ref="C131:C194" si="16">IF(ISNUMBER(A131),A131,NA())</f>
        <v>64.5</v>
      </c>
      <c r="D131" s="58">
        <f t="shared" ref="D131:D194" si="17">IF(ISNUMBER(B131),B131,NA())</f>
        <v>5</v>
      </c>
      <c r="E131" s="15">
        <f t="shared" ref="E131:E194" ca="1" si="18">IF(ISNUMBER(C131),IF($R$2&gt;D131,0,D131-$R$2),"")</f>
        <v>1.7804878048780486</v>
      </c>
      <c r="F131" s="16" t="str">
        <f>IF(ISNUMBER(C131),IF(AND(RESULTS!$C$36&lt;=C131,C131&lt;=RESULTS!$D$36),E131,""),"")</f>
        <v/>
      </c>
      <c r="G131" s="16" t="str">
        <f t="shared" ref="G131:G194" ca="1" si="19">IF(AND(F131&lt;&gt;"",F131&gt;=MAX(F:F)/2),C131,"")</f>
        <v/>
      </c>
      <c r="H131" s="16" t="str">
        <f>IF(ISNUMBER(C131),IF(AND(RESULTS!$C$37&lt;=C131,C131&lt;=RESULTS!$D$37),E131,""),"")</f>
        <v/>
      </c>
      <c r="I131" s="16" t="str">
        <f t="shared" ref="I131:I194" ca="1" si="20">IF(AND(H131&lt;&gt;"",H131&gt;=MAX(H:H)/2),C131,"")</f>
        <v/>
      </c>
      <c r="J131" s="16" t="str">
        <f>IF(ISNUMBER(C131),IF(AND(RESULTS!$C$38&lt;=C131,C131&lt;=RESULTS!$D$38),E131,""),"")</f>
        <v/>
      </c>
      <c r="K131" s="16" t="str">
        <f t="shared" ref="K131:K194" ca="1" si="21">IF(AND(J131&lt;&gt;"",J131&gt;=MAX(J:J)/2),C131,"")</f>
        <v/>
      </c>
      <c r="L131" s="16" t="str">
        <f>IF(ISNUMBER(C131),IF(AND(RESULTS!$C$39&lt;=C131,C131&lt;=RESULTS!$D$39),E131,""),"")</f>
        <v/>
      </c>
      <c r="M131" s="16" t="str">
        <f t="shared" ref="M131:M194" ca="1" si="22">IF(AND(L131&lt;&gt;"",L131&gt;=MAX(L:L)/2),C131,"")</f>
        <v/>
      </c>
      <c r="N131" s="16" t="str">
        <f>IF(ISNUMBER(C131),IF(AND(RESULTS!$C$40&lt;=C131,C131&lt;=RESULTS!$D$40),E131,""),"")</f>
        <v/>
      </c>
      <c r="O131" s="16" t="str">
        <f t="shared" ref="O131:O194" ca="1" si="23">IF(AND(N131&lt;&gt;"",N131&gt;=MAX(N:N)/2),C131,"")</f>
        <v/>
      </c>
    </row>
    <row r="132" spans="1:15" x14ac:dyDescent="0.25">
      <c r="A132" s="14">
        <v>65</v>
      </c>
      <c r="B132" s="14">
        <v>6</v>
      </c>
      <c r="C132" s="58">
        <f t="shared" si="16"/>
        <v>65</v>
      </c>
      <c r="D132" s="58">
        <f t="shared" si="17"/>
        <v>6</v>
      </c>
      <c r="E132" s="15">
        <f t="shared" ca="1" si="18"/>
        <v>2.7804878048780486</v>
      </c>
      <c r="F132" s="16" t="str">
        <f>IF(ISNUMBER(C132),IF(AND(RESULTS!$C$36&lt;=C132,C132&lt;=RESULTS!$D$36),E132,""),"")</f>
        <v/>
      </c>
      <c r="G132" s="16" t="str">
        <f t="shared" ca="1" si="19"/>
        <v/>
      </c>
      <c r="H132" s="16" t="str">
        <f>IF(ISNUMBER(C132),IF(AND(RESULTS!$C$37&lt;=C132,C132&lt;=RESULTS!$D$37),E132,""),"")</f>
        <v/>
      </c>
      <c r="I132" s="16" t="str">
        <f t="shared" ca="1" si="20"/>
        <v/>
      </c>
      <c r="J132" s="16" t="str">
        <f>IF(ISNUMBER(C132),IF(AND(RESULTS!$C$38&lt;=C132,C132&lt;=RESULTS!$D$38),E132,""),"")</f>
        <v/>
      </c>
      <c r="K132" s="16" t="str">
        <f t="shared" ca="1" si="21"/>
        <v/>
      </c>
      <c r="L132" s="16" t="str">
        <f>IF(ISNUMBER(C132),IF(AND(RESULTS!$C$39&lt;=C132,C132&lt;=RESULTS!$D$39),E132,""),"")</f>
        <v/>
      </c>
      <c r="M132" s="16" t="str">
        <f t="shared" ca="1" si="22"/>
        <v/>
      </c>
      <c r="N132" s="16" t="str">
        <f>IF(ISNUMBER(C132),IF(AND(RESULTS!$C$40&lt;=C132,C132&lt;=RESULTS!$D$40),E132,""),"")</f>
        <v/>
      </c>
      <c r="O132" s="16" t="str">
        <f t="shared" ca="1" si="23"/>
        <v/>
      </c>
    </row>
    <row r="133" spans="1:15" x14ac:dyDescent="0.25">
      <c r="A133" s="14">
        <v>65.5</v>
      </c>
      <c r="B133" s="14">
        <v>4</v>
      </c>
      <c r="C133" s="58">
        <f t="shared" si="16"/>
        <v>65.5</v>
      </c>
      <c r="D133" s="58">
        <f t="shared" si="17"/>
        <v>4</v>
      </c>
      <c r="E133" s="15">
        <f t="shared" ca="1" si="18"/>
        <v>0.78048780487804859</v>
      </c>
      <c r="F133" s="16" t="str">
        <f>IF(ISNUMBER(C133),IF(AND(RESULTS!$C$36&lt;=C133,C133&lt;=RESULTS!$D$36),E133,""),"")</f>
        <v/>
      </c>
      <c r="G133" s="16" t="str">
        <f t="shared" ca="1" si="19"/>
        <v/>
      </c>
      <c r="H133" s="16" t="str">
        <f>IF(ISNUMBER(C133),IF(AND(RESULTS!$C$37&lt;=C133,C133&lt;=RESULTS!$D$37),E133,""),"")</f>
        <v/>
      </c>
      <c r="I133" s="16" t="str">
        <f t="shared" ca="1" si="20"/>
        <v/>
      </c>
      <c r="J133" s="16" t="str">
        <f>IF(ISNUMBER(C133),IF(AND(RESULTS!$C$38&lt;=C133,C133&lt;=RESULTS!$D$38),E133,""),"")</f>
        <v/>
      </c>
      <c r="K133" s="16" t="str">
        <f t="shared" ca="1" si="21"/>
        <v/>
      </c>
      <c r="L133" s="16" t="str">
        <f>IF(ISNUMBER(C133),IF(AND(RESULTS!$C$39&lt;=C133,C133&lt;=RESULTS!$D$39),E133,""),"")</f>
        <v/>
      </c>
      <c r="M133" s="16" t="str">
        <f t="shared" ca="1" si="22"/>
        <v/>
      </c>
      <c r="N133" s="16" t="str">
        <f>IF(ISNUMBER(C133),IF(AND(RESULTS!$C$40&lt;=C133,C133&lt;=RESULTS!$D$40),E133,""),"")</f>
        <v/>
      </c>
      <c r="O133" s="16" t="str">
        <f t="shared" ca="1" si="23"/>
        <v/>
      </c>
    </row>
    <row r="134" spans="1:15" x14ac:dyDescent="0.25">
      <c r="A134" s="14">
        <v>66</v>
      </c>
      <c r="B134" s="14">
        <v>4</v>
      </c>
      <c r="C134" s="58">
        <f t="shared" si="16"/>
        <v>66</v>
      </c>
      <c r="D134" s="58">
        <f t="shared" si="17"/>
        <v>4</v>
      </c>
      <c r="E134" s="15">
        <f t="shared" ca="1" si="18"/>
        <v>0.78048780487804859</v>
      </c>
      <c r="F134" s="16" t="str">
        <f>IF(ISNUMBER(C134),IF(AND(RESULTS!$C$36&lt;=C134,C134&lt;=RESULTS!$D$36),E134,""),"")</f>
        <v/>
      </c>
      <c r="G134" s="16" t="str">
        <f t="shared" ca="1" si="19"/>
        <v/>
      </c>
      <c r="H134" s="16" t="str">
        <f>IF(ISNUMBER(C134),IF(AND(RESULTS!$C$37&lt;=C134,C134&lt;=RESULTS!$D$37),E134,""),"")</f>
        <v/>
      </c>
      <c r="I134" s="16" t="str">
        <f t="shared" ca="1" si="20"/>
        <v/>
      </c>
      <c r="J134" s="16" t="str">
        <f>IF(ISNUMBER(C134),IF(AND(RESULTS!$C$38&lt;=C134,C134&lt;=RESULTS!$D$38),E134,""),"")</f>
        <v/>
      </c>
      <c r="K134" s="16" t="str">
        <f t="shared" ca="1" si="21"/>
        <v/>
      </c>
      <c r="L134" s="16" t="str">
        <f>IF(ISNUMBER(C134),IF(AND(RESULTS!$C$39&lt;=C134,C134&lt;=RESULTS!$D$39),E134,""),"")</f>
        <v/>
      </c>
      <c r="M134" s="16" t="str">
        <f t="shared" ca="1" si="22"/>
        <v/>
      </c>
      <c r="N134" s="16" t="str">
        <f>IF(ISNUMBER(C134),IF(AND(RESULTS!$C$40&lt;=C134,C134&lt;=RESULTS!$D$40),E134,""),"")</f>
        <v/>
      </c>
      <c r="O134" s="16" t="str">
        <f t="shared" ca="1" si="23"/>
        <v/>
      </c>
    </row>
    <row r="135" spans="1:15" x14ac:dyDescent="0.25">
      <c r="A135" s="14">
        <v>66.5</v>
      </c>
      <c r="B135" s="14">
        <v>2</v>
      </c>
      <c r="C135" s="58">
        <f t="shared" si="16"/>
        <v>66.5</v>
      </c>
      <c r="D135" s="58">
        <f t="shared" si="17"/>
        <v>2</v>
      </c>
      <c r="E135" s="15">
        <f t="shared" ca="1" si="18"/>
        <v>0</v>
      </c>
      <c r="F135" s="16" t="str">
        <f>IF(ISNUMBER(C135),IF(AND(RESULTS!$C$36&lt;=C135,C135&lt;=RESULTS!$D$36),E135,""),"")</f>
        <v/>
      </c>
      <c r="G135" s="16" t="str">
        <f t="shared" ca="1" si="19"/>
        <v/>
      </c>
      <c r="H135" s="16" t="str">
        <f>IF(ISNUMBER(C135),IF(AND(RESULTS!$C$37&lt;=C135,C135&lt;=RESULTS!$D$37),E135,""),"")</f>
        <v/>
      </c>
      <c r="I135" s="16" t="str">
        <f t="shared" ca="1" si="20"/>
        <v/>
      </c>
      <c r="J135" s="16" t="str">
        <f>IF(ISNUMBER(C135),IF(AND(RESULTS!$C$38&lt;=C135,C135&lt;=RESULTS!$D$38),E135,""),"")</f>
        <v/>
      </c>
      <c r="K135" s="16" t="str">
        <f t="shared" ca="1" si="21"/>
        <v/>
      </c>
      <c r="L135" s="16" t="str">
        <f>IF(ISNUMBER(C135),IF(AND(RESULTS!$C$39&lt;=C135,C135&lt;=RESULTS!$D$39),E135,""),"")</f>
        <v/>
      </c>
      <c r="M135" s="16" t="str">
        <f t="shared" ca="1" si="22"/>
        <v/>
      </c>
      <c r="N135" s="16" t="str">
        <f>IF(ISNUMBER(C135),IF(AND(RESULTS!$C$40&lt;=C135,C135&lt;=RESULTS!$D$40),E135,""),"")</f>
        <v/>
      </c>
      <c r="O135" s="16" t="str">
        <f t="shared" ca="1" si="23"/>
        <v/>
      </c>
    </row>
    <row r="136" spans="1:15" x14ac:dyDescent="0.25">
      <c r="A136" s="14">
        <v>67</v>
      </c>
      <c r="B136" s="14">
        <v>5</v>
      </c>
      <c r="C136" s="58">
        <f t="shared" si="16"/>
        <v>67</v>
      </c>
      <c r="D136" s="58">
        <f t="shared" si="17"/>
        <v>5</v>
      </c>
      <c r="E136" s="15">
        <f t="shared" ca="1" si="18"/>
        <v>1.7804878048780486</v>
      </c>
      <c r="F136" s="16" t="str">
        <f>IF(ISNUMBER(C136),IF(AND(RESULTS!$C$36&lt;=C136,C136&lt;=RESULTS!$D$36),E136,""),"")</f>
        <v/>
      </c>
      <c r="G136" s="16" t="str">
        <f t="shared" ca="1" si="19"/>
        <v/>
      </c>
      <c r="H136" s="16" t="str">
        <f>IF(ISNUMBER(C136),IF(AND(RESULTS!$C$37&lt;=C136,C136&lt;=RESULTS!$D$37),E136,""),"")</f>
        <v/>
      </c>
      <c r="I136" s="16" t="str">
        <f t="shared" ca="1" si="20"/>
        <v/>
      </c>
      <c r="J136" s="16" t="str">
        <f>IF(ISNUMBER(C136),IF(AND(RESULTS!$C$38&lt;=C136,C136&lt;=RESULTS!$D$38),E136,""),"")</f>
        <v/>
      </c>
      <c r="K136" s="16" t="str">
        <f t="shared" ca="1" si="21"/>
        <v/>
      </c>
      <c r="L136" s="16" t="str">
        <f>IF(ISNUMBER(C136),IF(AND(RESULTS!$C$39&lt;=C136,C136&lt;=RESULTS!$D$39),E136,""),"")</f>
        <v/>
      </c>
      <c r="M136" s="16" t="str">
        <f t="shared" ca="1" si="22"/>
        <v/>
      </c>
      <c r="N136" s="16" t="str">
        <f>IF(ISNUMBER(C136),IF(AND(RESULTS!$C$40&lt;=C136,C136&lt;=RESULTS!$D$40),E136,""),"")</f>
        <v/>
      </c>
      <c r="O136" s="16" t="str">
        <f t="shared" ca="1" si="23"/>
        <v/>
      </c>
    </row>
    <row r="137" spans="1:15" x14ac:dyDescent="0.25">
      <c r="A137" s="14">
        <v>67.5</v>
      </c>
      <c r="B137" s="14">
        <v>3</v>
      </c>
      <c r="C137" s="58">
        <f t="shared" si="16"/>
        <v>67.5</v>
      </c>
      <c r="D137" s="58">
        <f t="shared" si="17"/>
        <v>3</v>
      </c>
      <c r="E137" s="15">
        <f t="shared" ca="1" si="18"/>
        <v>0</v>
      </c>
      <c r="F137" s="16" t="str">
        <f>IF(ISNUMBER(C137),IF(AND(RESULTS!$C$36&lt;=C137,C137&lt;=RESULTS!$D$36),E137,""),"")</f>
        <v/>
      </c>
      <c r="G137" s="16" t="str">
        <f t="shared" ca="1" si="19"/>
        <v/>
      </c>
      <c r="H137" s="16" t="str">
        <f>IF(ISNUMBER(C137),IF(AND(RESULTS!$C$37&lt;=C137,C137&lt;=RESULTS!$D$37),E137,""),"")</f>
        <v/>
      </c>
      <c r="I137" s="16" t="str">
        <f t="shared" ca="1" si="20"/>
        <v/>
      </c>
      <c r="J137" s="16" t="str">
        <f>IF(ISNUMBER(C137),IF(AND(RESULTS!$C$38&lt;=C137,C137&lt;=RESULTS!$D$38),E137,""),"")</f>
        <v/>
      </c>
      <c r="K137" s="16" t="str">
        <f t="shared" ca="1" si="21"/>
        <v/>
      </c>
      <c r="L137" s="16" t="str">
        <f>IF(ISNUMBER(C137),IF(AND(RESULTS!$C$39&lt;=C137,C137&lt;=RESULTS!$D$39),E137,""),"")</f>
        <v/>
      </c>
      <c r="M137" s="16" t="str">
        <f t="shared" ca="1" si="22"/>
        <v/>
      </c>
      <c r="N137" s="16" t="str">
        <f>IF(ISNUMBER(C137),IF(AND(RESULTS!$C$40&lt;=C137,C137&lt;=RESULTS!$D$40),E137,""),"")</f>
        <v/>
      </c>
      <c r="O137" s="16" t="str">
        <f t="shared" ca="1" si="23"/>
        <v/>
      </c>
    </row>
    <row r="138" spans="1:15" x14ac:dyDescent="0.25">
      <c r="A138" s="14">
        <v>68</v>
      </c>
      <c r="B138" s="14">
        <v>5</v>
      </c>
      <c r="C138" s="58">
        <f t="shared" si="16"/>
        <v>68</v>
      </c>
      <c r="D138" s="58">
        <f t="shared" si="17"/>
        <v>5</v>
      </c>
      <c r="E138" s="15">
        <f t="shared" ca="1" si="18"/>
        <v>1.7804878048780486</v>
      </c>
      <c r="F138" s="16" t="str">
        <f>IF(ISNUMBER(C138),IF(AND(RESULTS!$C$36&lt;=C138,C138&lt;=RESULTS!$D$36),E138,""),"")</f>
        <v/>
      </c>
      <c r="G138" s="16" t="str">
        <f t="shared" ca="1" si="19"/>
        <v/>
      </c>
      <c r="H138" s="16" t="str">
        <f>IF(ISNUMBER(C138),IF(AND(RESULTS!$C$37&lt;=C138,C138&lt;=RESULTS!$D$37),E138,""),"")</f>
        <v/>
      </c>
      <c r="I138" s="16" t="str">
        <f t="shared" ca="1" si="20"/>
        <v/>
      </c>
      <c r="J138" s="16" t="str">
        <f>IF(ISNUMBER(C138),IF(AND(RESULTS!$C$38&lt;=C138,C138&lt;=RESULTS!$D$38),E138,""),"")</f>
        <v/>
      </c>
      <c r="K138" s="16" t="str">
        <f t="shared" ca="1" si="21"/>
        <v/>
      </c>
      <c r="L138" s="16" t="str">
        <f>IF(ISNUMBER(C138),IF(AND(RESULTS!$C$39&lt;=C138,C138&lt;=RESULTS!$D$39),E138,""),"")</f>
        <v/>
      </c>
      <c r="M138" s="16" t="str">
        <f t="shared" ca="1" si="22"/>
        <v/>
      </c>
      <c r="N138" s="16" t="str">
        <f>IF(ISNUMBER(C138),IF(AND(RESULTS!$C$40&lt;=C138,C138&lt;=RESULTS!$D$40),E138,""),"")</f>
        <v/>
      </c>
      <c r="O138" s="16" t="str">
        <f t="shared" ca="1" si="23"/>
        <v/>
      </c>
    </row>
    <row r="139" spans="1:15" x14ac:dyDescent="0.25">
      <c r="A139" s="14">
        <v>68.5</v>
      </c>
      <c r="B139" s="14">
        <v>1</v>
      </c>
      <c r="C139" s="58">
        <f t="shared" si="16"/>
        <v>68.5</v>
      </c>
      <c r="D139" s="58">
        <f t="shared" si="17"/>
        <v>1</v>
      </c>
      <c r="E139" s="15">
        <f t="shared" ca="1" si="18"/>
        <v>0</v>
      </c>
      <c r="F139" s="16" t="str">
        <f>IF(ISNUMBER(C139),IF(AND(RESULTS!$C$36&lt;=C139,C139&lt;=RESULTS!$D$36),E139,""),"")</f>
        <v/>
      </c>
      <c r="G139" s="16" t="str">
        <f t="shared" ca="1" si="19"/>
        <v/>
      </c>
      <c r="H139" s="16" t="str">
        <f>IF(ISNUMBER(C139),IF(AND(RESULTS!$C$37&lt;=C139,C139&lt;=RESULTS!$D$37),E139,""),"")</f>
        <v/>
      </c>
      <c r="I139" s="16" t="str">
        <f t="shared" ca="1" si="20"/>
        <v/>
      </c>
      <c r="J139" s="16" t="str">
        <f>IF(ISNUMBER(C139),IF(AND(RESULTS!$C$38&lt;=C139,C139&lt;=RESULTS!$D$38),E139,""),"")</f>
        <v/>
      </c>
      <c r="K139" s="16" t="str">
        <f t="shared" ca="1" si="21"/>
        <v/>
      </c>
      <c r="L139" s="16" t="str">
        <f>IF(ISNUMBER(C139),IF(AND(RESULTS!$C$39&lt;=C139,C139&lt;=RESULTS!$D$39),E139,""),"")</f>
        <v/>
      </c>
      <c r="M139" s="16" t="str">
        <f t="shared" ca="1" si="22"/>
        <v/>
      </c>
      <c r="N139" s="16" t="str">
        <f>IF(ISNUMBER(C139),IF(AND(RESULTS!$C$40&lt;=C139,C139&lt;=RESULTS!$D$40),E139,""),"")</f>
        <v/>
      </c>
      <c r="O139" s="16" t="str">
        <f t="shared" ca="1" si="23"/>
        <v/>
      </c>
    </row>
    <row r="140" spans="1:15" x14ac:dyDescent="0.25">
      <c r="A140" s="14">
        <v>69</v>
      </c>
      <c r="B140" s="14">
        <v>0</v>
      </c>
      <c r="C140" s="58">
        <f t="shared" si="16"/>
        <v>69</v>
      </c>
      <c r="D140" s="58">
        <f t="shared" si="17"/>
        <v>0</v>
      </c>
      <c r="E140" s="15">
        <f t="shared" ca="1" si="18"/>
        <v>0</v>
      </c>
      <c r="F140" s="16" t="str">
        <f>IF(ISNUMBER(C140),IF(AND(RESULTS!$C$36&lt;=C140,C140&lt;=RESULTS!$D$36),E140,""),"")</f>
        <v/>
      </c>
      <c r="G140" s="16" t="str">
        <f t="shared" ca="1" si="19"/>
        <v/>
      </c>
      <c r="H140" s="16" t="str">
        <f>IF(ISNUMBER(C140),IF(AND(RESULTS!$C$37&lt;=C140,C140&lt;=RESULTS!$D$37),E140,""),"")</f>
        <v/>
      </c>
      <c r="I140" s="16" t="str">
        <f t="shared" ca="1" si="20"/>
        <v/>
      </c>
      <c r="J140" s="16" t="str">
        <f>IF(ISNUMBER(C140),IF(AND(RESULTS!$C$38&lt;=C140,C140&lt;=RESULTS!$D$38),E140,""),"")</f>
        <v/>
      </c>
      <c r="K140" s="16" t="str">
        <f t="shared" ca="1" si="21"/>
        <v/>
      </c>
      <c r="L140" s="16" t="str">
        <f>IF(ISNUMBER(C140),IF(AND(RESULTS!$C$39&lt;=C140,C140&lt;=RESULTS!$D$39),E140,""),"")</f>
        <v/>
      </c>
      <c r="M140" s="16" t="str">
        <f t="shared" ca="1" si="22"/>
        <v/>
      </c>
      <c r="N140" s="16" t="str">
        <f>IF(ISNUMBER(C140),IF(AND(RESULTS!$C$40&lt;=C140,C140&lt;=RESULTS!$D$40),E140,""),"")</f>
        <v/>
      </c>
      <c r="O140" s="16" t="str">
        <f t="shared" ca="1" si="23"/>
        <v/>
      </c>
    </row>
    <row r="141" spans="1:15" x14ac:dyDescent="0.25">
      <c r="A141" s="14">
        <v>69.5</v>
      </c>
      <c r="B141" s="14">
        <v>6</v>
      </c>
      <c r="C141" s="58">
        <f t="shared" si="16"/>
        <v>69.5</v>
      </c>
      <c r="D141" s="58">
        <f t="shared" si="17"/>
        <v>6</v>
      </c>
      <c r="E141" s="15">
        <f t="shared" ca="1" si="18"/>
        <v>2.7804878048780486</v>
      </c>
      <c r="F141" s="16" t="str">
        <f>IF(ISNUMBER(C141),IF(AND(RESULTS!$C$36&lt;=C141,C141&lt;=RESULTS!$D$36),E141,""),"")</f>
        <v/>
      </c>
      <c r="G141" s="16" t="str">
        <f t="shared" ca="1" si="19"/>
        <v/>
      </c>
      <c r="H141" s="16" t="str">
        <f>IF(ISNUMBER(C141),IF(AND(RESULTS!$C$37&lt;=C141,C141&lt;=RESULTS!$D$37),E141,""),"")</f>
        <v/>
      </c>
      <c r="I141" s="16" t="str">
        <f t="shared" ca="1" si="20"/>
        <v/>
      </c>
      <c r="J141" s="16" t="str">
        <f>IF(ISNUMBER(C141),IF(AND(RESULTS!$C$38&lt;=C141,C141&lt;=RESULTS!$D$38),E141,""),"")</f>
        <v/>
      </c>
      <c r="K141" s="16" t="str">
        <f t="shared" ca="1" si="21"/>
        <v/>
      </c>
      <c r="L141" s="16" t="str">
        <f>IF(ISNUMBER(C141),IF(AND(RESULTS!$C$39&lt;=C141,C141&lt;=RESULTS!$D$39),E141,""),"")</f>
        <v/>
      </c>
      <c r="M141" s="16" t="str">
        <f t="shared" ca="1" si="22"/>
        <v/>
      </c>
      <c r="N141" s="16" t="str">
        <f>IF(ISNUMBER(C141),IF(AND(RESULTS!$C$40&lt;=C141,C141&lt;=RESULTS!$D$40),E141,""),"")</f>
        <v/>
      </c>
      <c r="O141" s="16" t="str">
        <f t="shared" ca="1" si="23"/>
        <v/>
      </c>
    </row>
    <row r="142" spans="1:15" x14ac:dyDescent="0.25">
      <c r="A142" s="14">
        <v>70</v>
      </c>
      <c r="B142" s="14">
        <v>2</v>
      </c>
      <c r="C142" s="58">
        <f t="shared" si="16"/>
        <v>70</v>
      </c>
      <c r="D142" s="58">
        <f t="shared" si="17"/>
        <v>2</v>
      </c>
      <c r="E142" s="15">
        <f t="shared" ca="1" si="18"/>
        <v>0</v>
      </c>
      <c r="F142" s="16" t="str">
        <f>IF(ISNUMBER(C142),IF(AND(RESULTS!$C$36&lt;=C142,C142&lt;=RESULTS!$D$36),E142,""),"")</f>
        <v/>
      </c>
      <c r="G142" s="16" t="str">
        <f t="shared" ca="1" si="19"/>
        <v/>
      </c>
      <c r="H142" s="16" t="str">
        <f>IF(ISNUMBER(C142),IF(AND(RESULTS!$C$37&lt;=C142,C142&lt;=RESULTS!$D$37),E142,""),"")</f>
        <v/>
      </c>
      <c r="I142" s="16" t="str">
        <f t="shared" ca="1" si="20"/>
        <v/>
      </c>
      <c r="J142" s="16" t="str">
        <f>IF(ISNUMBER(C142),IF(AND(RESULTS!$C$38&lt;=C142,C142&lt;=RESULTS!$D$38),E142,""),"")</f>
        <v/>
      </c>
      <c r="K142" s="16" t="str">
        <f t="shared" ca="1" si="21"/>
        <v/>
      </c>
      <c r="L142" s="16" t="str">
        <f>IF(ISNUMBER(C142),IF(AND(RESULTS!$C$39&lt;=C142,C142&lt;=RESULTS!$D$39),E142,""),"")</f>
        <v/>
      </c>
      <c r="M142" s="16" t="str">
        <f t="shared" ca="1" si="22"/>
        <v/>
      </c>
      <c r="N142" s="16" t="str">
        <f>IF(ISNUMBER(C142),IF(AND(RESULTS!$C$40&lt;=C142,C142&lt;=RESULTS!$D$40),E142,""),"")</f>
        <v/>
      </c>
      <c r="O142" s="16" t="str">
        <f t="shared" ca="1" si="23"/>
        <v/>
      </c>
    </row>
    <row r="143" spans="1:15" x14ac:dyDescent="0.25">
      <c r="A143" s="14">
        <v>70.5</v>
      </c>
      <c r="B143" s="14">
        <v>2</v>
      </c>
      <c r="C143" s="58">
        <f t="shared" si="16"/>
        <v>70.5</v>
      </c>
      <c r="D143" s="58">
        <f t="shared" si="17"/>
        <v>2</v>
      </c>
      <c r="E143" s="15">
        <f t="shared" ca="1" si="18"/>
        <v>0</v>
      </c>
      <c r="F143" s="16" t="str">
        <f>IF(ISNUMBER(C143),IF(AND(RESULTS!$C$36&lt;=C143,C143&lt;=RESULTS!$D$36),E143,""),"")</f>
        <v/>
      </c>
      <c r="G143" s="16" t="str">
        <f t="shared" ca="1" si="19"/>
        <v/>
      </c>
      <c r="H143" s="16" t="str">
        <f>IF(ISNUMBER(C143),IF(AND(RESULTS!$C$37&lt;=C143,C143&lt;=RESULTS!$D$37),E143,""),"")</f>
        <v/>
      </c>
      <c r="I143" s="16" t="str">
        <f t="shared" ca="1" si="20"/>
        <v/>
      </c>
      <c r="J143" s="16" t="str">
        <f>IF(ISNUMBER(C143),IF(AND(RESULTS!$C$38&lt;=C143,C143&lt;=RESULTS!$D$38),E143,""),"")</f>
        <v/>
      </c>
      <c r="K143" s="16" t="str">
        <f t="shared" ca="1" si="21"/>
        <v/>
      </c>
      <c r="L143" s="16" t="str">
        <f>IF(ISNUMBER(C143),IF(AND(RESULTS!$C$39&lt;=C143,C143&lt;=RESULTS!$D$39),E143,""),"")</f>
        <v/>
      </c>
      <c r="M143" s="16" t="str">
        <f t="shared" ca="1" si="22"/>
        <v/>
      </c>
      <c r="N143" s="16" t="str">
        <f>IF(ISNUMBER(C143),IF(AND(RESULTS!$C$40&lt;=C143,C143&lt;=RESULTS!$D$40),E143,""),"")</f>
        <v/>
      </c>
      <c r="O143" s="16" t="str">
        <f t="shared" ca="1" si="23"/>
        <v/>
      </c>
    </row>
    <row r="144" spans="1:15" x14ac:dyDescent="0.25">
      <c r="A144" s="14">
        <v>71</v>
      </c>
      <c r="B144" s="14">
        <v>2</v>
      </c>
      <c r="C144" s="58">
        <f t="shared" si="16"/>
        <v>71</v>
      </c>
      <c r="D144" s="58">
        <f t="shared" si="17"/>
        <v>2</v>
      </c>
      <c r="E144" s="15">
        <f t="shared" ca="1" si="18"/>
        <v>0</v>
      </c>
      <c r="F144" s="16" t="str">
        <f>IF(ISNUMBER(C144),IF(AND(RESULTS!$C$36&lt;=C144,C144&lt;=RESULTS!$D$36),E144,""),"")</f>
        <v/>
      </c>
      <c r="G144" s="16" t="str">
        <f t="shared" ca="1" si="19"/>
        <v/>
      </c>
      <c r="H144" s="16" t="str">
        <f>IF(ISNUMBER(C144),IF(AND(RESULTS!$C$37&lt;=C144,C144&lt;=RESULTS!$D$37),E144,""),"")</f>
        <v/>
      </c>
      <c r="I144" s="16" t="str">
        <f t="shared" ca="1" si="20"/>
        <v/>
      </c>
      <c r="J144" s="16" t="str">
        <f>IF(ISNUMBER(C144),IF(AND(RESULTS!$C$38&lt;=C144,C144&lt;=RESULTS!$D$38),E144,""),"")</f>
        <v/>
      </c>
      <c r="K144" s="16" t="str">
        <f t="shared" ca="1" si="21"/>
        <v/>
      </c>
      <c r="L144" s="16" t="str">
        <f>IF(ISNUMBER(C144),IF(AND(RESULTS!$C$39&lt;=C144,C144&lt;=RESULTS!$D$39),E144,""),"")</f>
        <v/>
      </c>
      <c r="M144" s="16" t="str">
        <f t="shared" ca="1" si="22"/>
        <v/>
      </c>
      <c r="N144" s="16" t="str">
        <f>IF(ISNUMBER(C144),IF(AND(RESULTS!$C$40&lt;=C144,C144&lt;=RESULTS!$D$40),E144,""),"")</f>
        <v/>
      </c>
      <c r="O144" s="16" t="str">
        <f t="shared" ca="1" si="23"/>
        <v/>
      </c>
    </row>
    <row r="145" spans="1:15" x14ac:dyDescent="0.25">
      <c r="A145" s="14">
        <v>71.5</v>
      </c>
      <c r="B145" s="14">
        <v>5</v>
      </c>
      <c r="C145" s="58">
        <f t="shared" si="16"/>
        <v>71.5</v>
      </c>
      <c r="D145" s="58">
        <f t="shared" si="17"/>
        <v>5</v>
      </c>
      <c r="E145" s="15">
        <f t="shared" ca="1" si="18"/>
        <v>1.7804878048780486</v>
      </c>
      <c r="F145" s="16" t="str">
        <f>IF(ISNUMBER(C145),IF(AND(RESULTS!$C$36&lt;=C145,C145&lt;=RESULTS!$D$36),E145,""),"")</f>
        <v/>
      </c>
      <c r="G145" s="16" t="str">
        <f t="shared" ca="1" si="19"/>
        <v/>
      </c>
      <c r="H145" s="16" t="str">
        <f>IF(ISNUMBER(C145),IF(AND(RESULTS!$C$37&lt;=C145,C145&lt;=RESULTS!$D$37),E145,""),"")</f>
        <v/>
      </c>
      <c r="I145" s="16" t="str">
        <f t="shared" ca="1" si="20"/>
        <v/>
      </c>
      <c r="J145" s="16" t="str">
        <f>IF(ISNUMBER(C145),IF(AND(RESULTS!$C$38&lt;=C145,C145&lt;=RESULTS!$D$38),E145,""),"")</f>
        <v/>
      </c>
      <c r="K145" s="16" t="str">
        <f t="shared" ca="1" si="21"/>
        <v/>
      </c>
      <c r="L145" s="16" t="str">
        <f>IF(ISNUMBER(C145),IF(AND(RESULTS!$C$39&lt;=C145,C145&lt;=RESULTS!$D$39),E145,""),"")</f>
        <v/>
      </c>
      <c r="M145" s="16" t="str">
        <f t="shared" ca="1" si="22"/>
        <v/>
      </c>
      <c r="N145" s="16" t="str">
        <f>IF(ISNUMBER(C145),IF(AND(RESULTS!$C$40&lt;=C145,C145&lt;=RESULTS!$D$40),E145,""),"")</f>
        <v/>
      </c>
      <c r="O145" s="16" t="str">
        <f t="shared" ca="1" si="23"/>
        <v/>
      </c>
    </row>
    <row r="146" spans="1:15" x14ac:dyDescent="0.25">
      <c r="A146" s="14">
        <v>72</v>
      </c>
      <c r="B146" s="14">
        <v>4</v>
      </c>
      <c r="C146" s="58">
        <f t="shared" si="16"/>
        <v>72</v>
      </c>
      <c r="D146" s="58">
        <f t="shared" si="17"/>
        <v>4</v>
      </c>
      <c r="E146" s="15">
        <f t="shared" ca="1" si="18"/>
        <v>0.78048780487804859</v>
      </c>
      <c r="F146" s="16" t="str">
        <f>IF(ISNUMBER(C146),IF(AND(RESULTS!$C$36&lt;=C146,C146&lt;=RESULTS!$D$36),E146,""),"")</f>
        <v/>
      </c>
      <c r="G146" s="16" t="str">
        <f t="shared" ca="1" si="19"/>
        <v/>
      </c>
      <c r="H146" s="16" t="str">
        <f>IF(ISNUMBER(C146),IF(AND(RESULTS!$C$37&lt;=C146,C146&lt;=RESULTS!$D$37),E146,""),"")</f>
        <v/>
      </c>
      <c r="I146" s="16" t="str">
        <f t="shared" ca="1" si="20"/>
        <v/>
      </c>
      <c r="J146" s="16" t="str">
        <f>IF(ISNUMBER(C146),IF(AND(RESULTS!$C$38&lt;=C146,C146&lt;=RESULTS!$D$38),E146,""),"")</f>
        <v/>
      </c>
      <c r="K146" s="16" t="str">
        <f t="shared" ca="1" si="21"/>
        <v/>
      </c>
      <c r="L146" s="16" t="str">
        <f>IF(ISNUMBER(C146),IF(AND(RESULTS!$C$39&lt;=C146,C146&lt;=RESULTS!$D$39),E146,""),"")</f>
        <v/>
      </c>
      <c r="M146" s="16" t="str">
        <f t="shared" ca="1" si="22"/>
        <v/>
      </c>
      <c r="N146" s="16" t="str">
        <f>IF(ISNUMBER(C146),IF(AND(RESULTS!$C$40&lt;=C146,C146&lt;=RESULTS!$D$40),E146,""),"")</f>
        <v/>
      </c>
      <c r="O146" s="16" t="str">
        <f t="shared" ca="1" si="23"/>
        <v/>
      </c>
    </row>
    <row r="147" spans="1:15" x14ac:dyDescent="0.25">
      <c r="A147" s="14">
        <v>72.5</v>
      </c>
      <c r="B147" s="14">
        <v>4</v>
      </c>
      <c r="C147" s="58">
        <f t="shared" si="16"/>
        <v>72.5</v>
      </c>
      <c r="D147" s="58">
        <f t="shared" si="17"/>
        <v>4</v>
      </c>
      <c r="E147" s="15">
        <f t="shared" ca="1" si="18"/>
        <v>0.78048780487804859</v>
      </c>
      <c r="F147" s="16" t="str">
        <f>IF(ISNUMBER(C147),IF(AND(RESULTS!$C$36&lt;=C147,C147&lt;=RESULTS!$D$36),E147,""),"")</f>
        <v/>
      </c>
      <c r="G147" s="16" t="str">
        <f t="shared" ca="1" si="19"/>
        <v/>
      </c>
      <c r="H147" s="16" t="str">
        <f>IF(ISNUMBER(C147),IF(AND(RESULTS!$C$37&lt;=C147,C147&lt;=RESULTS!$D$37),E147,""),"")</f>
        <v/>
      </c>
      <c r="I147" s="16" t="str">
        <f t="shared" ca="1" si="20"/>
        <v/>
      </c>
      <c r="J147" s="16" t="str">
        <f>IF(ISNUMBER(C147),IF(AND(RESULTS!$C$38&lt;=C147,C147&lt;=RESULTS!$D$38),E147,""),"")</f>
        <v/>
      </c>
      <c r="K147" s="16" t="str">
        <f t="shared" ca="1" si="21"/>
        <v/>
      </c>
      <c r="L147" s="16" t="str">
        <f>IF(ISNUMBER(C147),IF(AND(RESULTS!$C$39&lt;=C147,C147&lt;=RESULTS!$D$39),E147,""),"")</f>
        <v/>
      </c>
      <c r="M147" s="16" t="str">
        <f t="shared" ca="1" si="22"/>
        <v/>
      </c>
      <c r="N147" s="16" t="str">
        <f>IF(ISNUMBER(C147),IF(AND(RESULTS!$C$40&lt;=C147,C147&lt;=RESULTS!$D$40),E147,""),"")</f>
        <v/>
      </c>
      <c r="O147" s="16" t="str">
        <f t="shared" ca="1" si="23"/>
        <v/>
      </c>
    </row>
    <row r="148" spans="1:15" x14ac:dyDescent="0.25">
      <c r="A148" s="14">
        <v>73</v>
      </c>
      <c r="B148" s="14">
        <v>4</v>
      </c>
      <c r="C148" s="58">
        <f t="shared" si="16"/>
        <v>73</v>
      </c>
      <c r="D148" s="58">
        <f t="shared" si="17"/>
        <v>4</v>
      </c>
      <c r="E148" s="15">
        <f t="shared" ca="1" si="18"/>
        <v>0.78048780487804859</v>
      </c>
      <c r="F148" s="16" t="str">
        <f>IF(ISNUMBER(C148),IF(AND(RESULTS!$C$36&lt;=C148,C148&lt;=RESULTS!$D$36),E148,""),"")</f>
        <v/>
      </c>
      <c r="G148" s="16" t="str">
        <f t="shared" ca="1" si="19"/>
        <v/>
      </c>
      <c r="H148" s="16" t="str">
        <f>IF(ISNUMBER(C148),IF(AND(RESULTS!$C$37&lt;=C148,C148&lt;=RESULTS!$D$37),E148,""),"")</f>
        <v/>
      </c>
      <c r="I148" s="16" t="str">
        <f t="shared" ca="1" si="20"/>
        <v/>
      </c>
      <c r="J148" s="16" t="str">
        <f>IF(ISNUMBER(C148),IF(AND(RESULTS!$C$38&lt;=C148,C148&lt;=RESULTS!$D$38),E148,""),"")</f>
        <v/>
      </c>
      <c r="K148" s="16" t="str">
        <f t="shared" ca="1" si="21"/>
        <v/>
      </c>
      <c r="L148" s="16" t="str">
        <f>IF(ISNUMBER(C148),IF(AND(RESULTS!$C$39&lt;=C148,C148&lt;=RESULTS!$D$39),E148,""),"")</f>
        <v/>
      </c>
      <c r="M148" s="16" t="str">
        <f t="shared" ca="1" si="22"/>
        <v/>
      </c>
      <c r="N148" s="16" t="str">
        <f>IF(ISNUMBER(C148),IF(AND(RESULTS!$C$40&lt;=C148,C148&lt;=RESULTS!$D$40),E148,""),"")</f>
        <v/>
      </c>
      <c r="O148" s="16" t="str">
        <f t="shared" ca="1" si="23"/>
        <v/>
      </c>
    </row>
    <row r="149" spans="1:15" x14ac:dyDescent="0.25">
      <c r="A149" s="14">
        <v>73.5</v>
      </c>
      <c r="B149" s="14">
        <v>7</v>
      </c>
      <c r="C149" s="58">
        <f t="shared" si="16"/>
        <v>73.5</v>
      </c>
      <c r="D149" s="58">
        <f t="shared" si="17"/>
        <v>7</v>
      </c>
      <c r="E149" s="15">
        <f t="shared" ca="1" si="18"/>
        <v>3.7804878048780486</v>
      </c>
      <c r="F149" s="16" t="str">
        <f>IF(ISNUMBER(C149),IF(AND(RESULTS!$C$36&lt;=C149,C149&lt;=RESULTS!$D$36),E149,""),"")</f>
        <v/>
      </c>
      <c r="G149" s="16" t="str">
        <f t="shared" ca="1" si="19"/>
        <v/>
      </c>
      <c r="H149" s="16" t="str">
        <f>IF(ISNUMBER(C149),IF(AND(RESULTS!$C$37&lt;=C149,C149&lt;=RESULTS!$D$37),E149,""),"")</f>
        <v/>
      </c>
      <c r="I149" s="16" t="str">
        <f t="shared" ca="1" si="20"/>
        <v/>
      </c>
      <c r="J149" s="16" t="str">
        <f>IF(ISNUMBER(C149),IF(AND(RESULTS!$C$38&lt;=C149,C149&lt;=RESULTS!$D$38),E149,""),"")</f>
        <v/>
      </c>
      <c r="K149" s="16" t="str">
        <f t="shared" ca="1" si="21"/>
        <v/>
      </c>
      <c r="L149" s="16" t="str">
        <f>IF(ISNUMBER(C149),IF(AND(RESULTS!$C$39&lt;=C149,C149&lt;=RESULTS!$D$39),E149,""),"")</f>
        <v/>
      </c>
      <c r="M149" s="16" t="str">
        <f t="shared" ca="1" si="22"/>
        <v/>
      </c>
      <c r="N149" s="16" t="str">
        <f>IF(ISNUMBER(C149),IF(AND(RESULTS!$C$40&lt;=C149,C149&lt;=RESULTS!$D$40),E149,""),"")</f>
        <v/>
      </c>
      <c r="O149" s="16" t="str">
        <f t="shared" ca="1" si="23"/>
        <v/>
      </c>
    </row>
    <row r="150" spans="1:15" x14ac:dyDescent="0.25">
      <c r="A150" s="14">
        <v>74</v>
      </c>
      <c r="B150" s="14">
        <v>2</v>
      </c>
      <c r="C150" s="58">
        <f t="shared" si="16"/>
        <v>74</v>
      </c>
      <c r="D150" s="58">
        <f t="shared" si="17"/>
        <v>2</v>
      </c>
      <c r="E150" s="15">
        <f t="shared" ca="1" si="18"/>
        <v>0</v>
      </c>
      <c r="F150" s="16" t="str">
        <f>IF(ISNUMBER(C150),IF(AND(RESULTS!$C$36&lt;=C150,C150&lt;=RESULTS!$D$36),E150,""),"")</f>
        <v/>
      </c>
      <c r="G150" s="16" t="str">
        <f t="shared" ca="1" si="19"/>
        <v/>
      </c>
      <c r="H150" s="16" t="str">
        <f>IF(ISNUMBER(C150),IF(AND(RESULTS!$C$37&lt;=C150,C150&lt;=RESULTS!$D$37),E150,""),"")</f>
        <v/>
      </c>
      <c r="I150" s="16" t="str">
        <f t="shared" ca="1" si="20"/>
        <v/>
      </c>
      <c r="J150" s="16" t="str">
        <f>IF(ISNUMBER(C150),IF(AND(RESULTS!$C$38&lt;=C150,C150&lt;=RESULTS!$D$38),E150,""),"")</f>
        <v/>
      </c>
      <c r="K150" s="16" t="str">
        <f t="shared" ca="1" si="21"/>
        <v/>
      </c>
      <c r="L150" s="16" t="str">
        <f>IF(ISNUMBER(C150),IF(AND(RESULTS!$C$39&lt;=C150,C150&lt;=RESULTS!$D$39),E150,""),"")</f>
        <v/>
      </c>
      <c r="M150" s="16" t="str">
        <f t="shared" ca="1" si="22"/>
        <v/>
      </c>
      <c r="N150" s="16" t="str">
        <f>IF(ISNUMBER(C150),IF(AND(RESULTS!$C$40&lt;=C150,C150&lt;=RESULTS!$D$40),E150,""),"")</f>
        <v/>
      </c>
      <c r="O150" s="16" t="str">
        <f t="shared" ca="1" si="23"/>
        <v/>
      </c>
    </row>
    <row r="151" spans="1:15" x14ac:dyDescent="0.25">
      <c r="A151" s="14">
        <v>74.5</v>
      </c>
      <c r="B151" s="14">
        <v>1</v>
      </c>
      <c r="C151" s="58">
        <f t="shared" si="16"/>
        <v>74.5</v>
      </c>
      <c r="D151" s="58">
        <f t="shared" si="17"/>
        <v>1</v>
      </c>
      <c r="E151" s="15">
        <f t="shared" ca="1" si="18"/>
        <v>0</v>
      </c>
      <c r="F151" s="16" t="str">
        <f>IF(ISNUMBER(C151),IF(AND(RESULTS!$C$36&lt;=C151,C151&lt;=RESULTS!$D$36),E151,""),"")</f>
        <v/>
      </c>
      <c r="G151" s="16" t="str">
        <f t="shared" ca="1" si="19"/>
        <v/>
      </c>
      <c r="H151" s="16" t="str">
        <f>IF(ISNUMBER(C151),IF(AND(RESULTS!$C$37&lt;=C151,C151&lt;=RESULTS!$D$37),E151,""),"")</f>
        <v/>
      </c>
      <c r="I151" s="16" t="str">
        <f t="shared" ca="1" si="20"/>
        <v/>
      </c>
      <c r="J151" s="16" t="str">
        <f>IF(ISNUMBER(C151),IF(AND(RESULTS!$C$38&lt;=C151,C151&lt;=RESULTS!$D$38),E151,""),"")</f>
        <v/>
      </c>
      <c r="K151" s="16" t="str">
        <f t="shared" ca="1" si="21"/>
        <v/>
      </c>
      <c r="L151" s="16" t="str">
        <f>IF(ISNUMBER(C151),IF(AND(RESULTS!$C$39&lt;=C151,C151&lt;=RESULTS!$D$39),E151,""),"")</f>
        <v/>
      </c>
      <c r="M151" s="16" t="str">
        <f t="shared" ca="1" si="22"/>
        <v/>
      </c>
      <c r="N151" s="16" t="str">
        <f>IF(ISNUMBER(C151),IF(AND(RESULTS!$C$40&lt;=C151,C151&lt;=RESULTS!$D$40),E151,""),"")</f>
        <v/>
      </c>
      <c r="O151" s="16" t="str">
        <f t="shared" ca="1" si="23"/>
        <v/>
      </c>
    </row>
    <row r="152" spans="1:15" x14ac:dyDescent="0.25">
      <c r="A152" s="14">
        <v>75</v>
      </c>
      <c r="B152" s="14">
        <v>3</v>
      </c>
      <c r="C152" s="58">
        <f t="shared" si="16"/>
        <v>75</v>
      </c>
      <c r="D152" s="58">
        <f t="shared" si="17"/>
        <v>3</v>
      </c>
      <c r="E152" s="15">
        <f t="shared" ca="1" si="18"/>
        <v>0</v>
      </c>
      <c r="F152" s="16" t="str">
        <f>IF(ISNUMBER(C152),IF(AND(RESULTS!$C$36&lt;=C152,C152&lt;=RESULTS!$D$36),E152,""),"")</f>
        <v/>
      </c>
      <c r="G152" s="16" t="str">
        <f t="shared" ca="1" si="19"/>
        <v/>
      </c>
      <c r="H152" s="16" t="str">
        <f>IF(ISNUMBER(C152),IF(AND(RESULTS!$C$37&lt;=C152,C152&lt;=RESULTS!$D$37),E152,""),"")</f>
        <v/>
      </c>
      <c r="I152" s="16" t="str">
        <f t="shared" ca="1" si="20"/>
        <v/>
      </c>
      <c r="J152" s="16" t="str">
        <f>IF(ISNUMBER(C152),IF(AND(RESULTS!$C$38&lt;=C152,C152&lt;=RESULTS!$D$38),E152,""),"")</f>
        <v/>
      </c>
      <c r="K152" s="16" t="str">
        <f t="shared" ca="1" si="21"/>
        <v/>
      </c>
      <c r="L152" s="16" t="str">
        <f>IF(ISNUMBER(C152),IF(AND(RESULTS!$C$39&lt;=C152,C152&lt;=RESULTS!$D$39),E152,""),"")</f>
        <v/>
      </c>
      <c r="M152" s="16" t="str">
        <f t="shared" ca="1" si="22"/>
        <v/>
      </c>
      <c r="N152" s="16" t="str">
        <f>IF(ISNUMBER(C152),IF(AND(RESULTS!$C$40&lt;=C152,C152&lt;=RESULTS!$D$40),E152,""),"")</f>
        <v/>
      </c>
      <c r="O152" s="16" t="str">
        <f t="shared" ca="1" si="23"/>
        <v/>
      </c>
    </row>
    <row r="153" spans="1:15" x14ac:dyDescent="0.25">
      <c r="A153" s="14">
        <v>75.5</v>
      </c>
      <c r="B153" s="14">
        <v>3</v>
      </c>
      <c r="C153" s="58">
        <f t="shared" si="16"/>
        <v>75.5</v>
      </c>
      <c r="D153" s="58">
        <f t="shared" si="17"/>
        <v>3</v>
      </c>
      <c r="E153" s="15">
        <f t="shared" ca="1" si="18"/>
        <v>0</v>
      </c>
      <c r="F153" s="16" t="str">
        <f>IF(ISNUMBER(C153),IF(AND(RESULTS!$C$36&lt;=C153,C153&lt;=RESULTS!$D$36),E153,""),"")</f>
        <v/>
      </c>
      <c r="G153" s="16" t="str">
        <f t="shared" ca="1" si="19"/>
        <v/>
      </c>
      <c r="H153" s="16" t="str">
        <f>IF(ISNUMBER(C153),IF(AND(RESULTS!$C$37&lt;=C153,C153&lt;=RESULTS!$D$37),E153,""),"")</f>
        <v/>
      </c>
      <c r="I153" s="16" t="str">
        <f t="shared" ca="1" si="20"/>
        <v/>
      </c>
      <c r="J153" s="16" t="str">
        <f>IF(ISNUMBER(C153),IF(AND(RESULTS!$C$38&lt;=C153,C153&lt;=RESULTS!$D$38),E153,""),"")</f>
        <v/>
      </c>
      <c r="K153" s="16" t="str">
        <f t="shared" ca="1" si="21"/>
        <v/>
      </c>
      <c r="L153" s="16" t="str">
        <f>IF(ISNUMBER(C153),IF(AND(RESULTS!$C$39&lt;=C153,C153&lt;=RESULTS!$D$39),E153,""),"")</f>
        <v/>
      </c>
      <c r="M153" s="16" t="str">
        <f t="shared" ca="1" si="22"/>
        <v/>
      </c>
      <c r="N153" s="16" t="str">
        <f>IF(ISNUMBER(C153),IF(AND(RESULTS!$C$40&lt;=C153,C153&lt;=RESULTS!$D$40),E153,""),"")</f>
        <v/>
      </c>
      <c r="O153" s="16" t="str">
        <f t="shared" ca="1" si="23"/>
        <v/>
      </c>
    </row>
    <row r="154" spans="1:15" x14ac:dyDescent="0.25">
      <c r="A154" s="14">
        <v>76</v>
      </c>
      <c r="B154" s="14">
        <v>6</v>
      </c>
      <c r="C154" s="58">
        <f t="shared" si="16"/>
        <v>76</v>
      </c>
      <c r="D154" s="58">
        <f t="shared" si="17"/>
        <v>6</v>
      </c>
      <c r="E154" s="15">
        <f t="shared" ca="1" si="18"/>
        <v>2.7804878048780486</v>
      </c>
      <c r="F154" s="16" t="str">
        <f>IF(ISNUMBER(C154),IF(AND(RESULTS!$C$36&lt;=C154,C154&lt;=RESULTS!$D$36),E154,""),"")</f>
        <v/>
      </c>
      <c r="G154" s="16" t="str">
        <f t="shared" ca="1" si="19"/>
        <v/>
      </c>
      <c r="H154" s="16" t="str">
        <f>IF(ISNUMBER(C154),IF(AND(RESULTS!$C$37&lt;=C154,C154&lt;=RESULTS!$D$37),E154,""),"")</f>
        <v/>
      </c>
      <c r="I154" s="16" t="str">
        <f t="shared" ca="1" si="20"/>
        <v/>
      </c>
      <c r="J154" s="16" t="str">
        <f>IF(ISNUMBER(C154),IF(AND(RESULTS!$C$38&lt;=C154,C154&lt;=RESULTS!$D$38),E154,""),"")</f>
        <v/>
      </c>
      <c r="K154" s="16" t="str">
        <f t="shared" ca="1" si="21"/>
        <v/>
      </c>
      <c r="L154" s="16" t="str">
        <f>IF(ISNUMBER(C154),IF(AND(RESULTS!$C$39&lt;=C154,C154&lt;=RESULTS!$D$39),E154,""),"")</f>
        <v/>
      </c>
      <c r="M154" s="16" t="str">
        <f t="shared" ca="1" si="22"/>
        <v/>
      </c>
      <c r="N154" s="16" t="str">
        <f>IF(ISNUMBER(C154),IF(AND(RESULTS!$C$40&lt;=C154,C154&lt;=RESULTS!$D$40),E154,""),"")</f>
        <v/>
      </c>
      <c r="O154" s="16" t="str">
        <f t="shared" ca="1" si="23"/>
        <v/>
      </c>
    </row>
    <row r="155" spans="1:15" x14ac:dyDescent="0.25">
      <c r="A155" s="14">
        <v>76.5</v>
      </c>
      <c r="B155" s="14">
        <v>6</v>
      </c>
      <c r="C155" s="58">
        <f t="shared" si="16"/>
        <v>76.5</v>
      </c>
      <c r="D155" s="58">
        <f t="shared" si="17"/>
        <v>6</v>
      </c>
      <c r="E155" s="15">
        <f t="shared" ca="1" si="18"/>
        <v>2.7804878048780486</v>
      </c>
      <c r="F155" s="16" t="str">
        <f>IF(ISNUMBER(C155),IF(AND(RESULTS!$C$36&lt;=C155,C155&lt;=RESULTS!$D$36),E155,""),"")</f>
        <v/>
      </c>
      <c r="G155" s="16" t="str">
        <f t="shared" ca="1" si="19"/>
        <v/>
      </c>
      <c r="H155" s="16" t="str">
        <f>IF(ISNUMBER(C155),IF(AND(RESULTS!$C$37&lt;=C155,C155&lt;=RESULTS!$D$37),E155,""),"")</f>
        <v/>
      </c>
      <c r="I155" s="16" t="str">
        <f t="shared" ca="1" si="20"/>
        <v/>
      </c>
      <c r="J155" s="16" t="str">
        <f>IF(ISNUMBER(C155),IF(AND(RESULTS!$C$38&lt;=C155,C155&lt;=RESULTS!$D$38),E155,""),"")</f>
        <v/>
      </c>
      <c r="K155" s="16" t="str">
        <f t="shared" ca="1" si="21"/>
        <v/>
      </c>
      <c r="L155" s="16" t="str">
        <f>IF(ISNUMBER(C155),IF(AND(RESULTS!$C$39&lt;=C155,C155&lt;=RESULTS!$D$39),E155,""),"")</f>
        <v/>
      </c>
      <c r="M155" s="16" t="str">
        <f t="shared" ca="1" si="22"/>
        <v/>
      </c>
      <c r="N155" s="16" t="str">
        <f>IF(ISNUMBER(C155),IF(AND(RESULTS!$C$40&lt;=C155,C155&lt;=RESULTS!$D$40),E155,""),"")</f>
        <v/>
      </c>
      <c r="O155" s="16" t="str">
        <f t="shared" ca="1" si="23"/>
        <v/>
      </c>
    </row>
    <row r="156" spans="1:15" x14ac:dyDescent="0.25">
      <c r="A156" s="14">
        <v>77</v>
      </c>
      <c r="B156" s="14">
        <v>2</v>
      </c>
      <c r="C156" s="58">
        <f t="shared" si="16"/>
        <v>77</v>
      </c>
      <c r="D156" s="58">
        <f t="shared" si="17"/>
        <v>2</v>
      </c>
      <c r="E156" s="15">
        <f t="shared" ca="1" si="18"/>
        <v>0</v>
      </c>
      <c r="F156" s="16" t="str">
        <f>IF(ISNUMBER(C156),IF(AND(RESULTS!$C$36&lt;=C156,C156&lt;=RESULTS!$D$36),E156,""),"")</f>
        <v/>
      </c>
      <c r="G156" s="16" t="str">
        <f t="shared" ca="1" si="19"/>
        <v/>
      </c>
      <c r="H156" s="16" t="str">
        <f>IF(ISNUMBER(C156),IF(AND(RESULTS!$C$37&lt;=C156,C156&lt;=RESULTS!$D$37),E156,""),"")</f>
        <v/>
      </c>
      <c r="I156" s="16" t="str">
        <f t="shared" ca="1" si="20"/>
        <v/>
      </c>
      <c r="J156" s="16" t="str">
        <f>IF(ISNUMBER(C156),IF(AND(RESULTS!$C$38&lt;=C156,C156&lt;=RESULTS!$D$38),E156,""),"")</f>
        <v/>
      </c>
      <c r="K156" s="16" t="str">
        <f t="shared" ca="1" si="21"/>
        <v/>
      </c>
      <c r="L156" s="16" t="str">
        <f>IF(ISNUMBER(C156),IF(AND(RESULTS!$C$39&lt;=C156,C156&lt;=RESULTS!$D$39),E156,""),"")</f>
        <v/>
      </c>
      <c r="M156" s="16" t="str">
        <f t="shared" ca="1" si="22"/>
        <v/>
      </c>
      <c r="N156" s="16" t="str">
        <f>IF(ISNUMBER(C156),IF(AND(RESULTS!$C$40&lt;=C156,C156&lt;=RESULTS!$D$40),E156,""),"")</f>
        <v/>
      </c>
      <c r="O156" s="16" t="str">
        <f t="shared" ca="1" si="23"/>
        <v/>
      </c>
    </row>
    <row r="157" spans="1:15" x14ac:dyDescent="0.25">
      <c r="A157" s="14">
        <v>77.5</v>
      </c>
      <c r="B157" s="14">
        <v>3</v>
      </c>
      <c r="C157" s="58">
        <f t="shared" si="16"/>
        <v>77.5</v>
      </c>
      <c r="D157" s="58">
        <f t="shared" si="17"/>
        <v>3</v>
      </c>
      <c r="E157" s="15">
        <f t="shared" ca="1" si="18"/>
        <v>0</v>
      </c>
      <c r="F157" s="16" t="str">
        <f>IF(ISNUMBER(C157),IF(AND(RESULTS!$C$36&lt;=C157,C157&lt;=RESULTS!$D$36),E157,""),"")</f>
        <v/>
      </c>
      <c r="G157" s="16" t="str">
        <f t="shared" ca="1" si="19"/>
        <v/>
      </c>
      <c r="H157" s="16" t="str">
        <f>IF(ISNUMBER(C157),IF(AND(RESULTS!$C$37&lt;=C157,C157&lt;=RESULTS!$D$37),E157,""),"")</f>
        <v/>
      </c>
      <c r="I157" s="16" t="str">
        <f t="shared" ca="1" si="20"/>
        <v/>
      </c>
      <c r="J157" s="16" t="str">
        <f>IF(ISNUMBER(C157),IF(AND(RESULTS!$C$38&lt;=C157,C157&lt;=RESULTS!$D$38),E157,""),"")</f>
        <v/>
      </c>
      <c r="K157" s="16" t="str">
        <f t="shared" ca="1" si="21"/>
        <v/>
      </c>
      <c r="L157" s="16" t="str">
        <f>IF(ISNUMBER(C157),IF(AND(RESULTS!$C$39&lt;=C157,C157&lt;=RESULTS!$D$39),E157,""),"")</f>
        <v/>
      </c>
      <c r="M157" s="16" t="str">
        <f t="shared" ca="1" si="22"/>
        <v/>
      </c>
      <c r="N157" s="16" t="str">
        <f>IF(ISNUMBER(C157),IF(AND(RESULTS!$C$40&lt;=C157,C157&lt;=RESULTS!$D$40),E157,""),"")</f>
        <v/>
      </c>
      <c r="O157" s="16" t="str">
        <f t="shared" ca="1" si="23"/>
        <v/>
      </c>
    </row>
    <row r="158" spans="1:15" x14ac:dyDescent="0.25">
      <c r="A158" s="14">
        <v>78</v>
      </c>
      <c r="B158" s="14">
        <v>6</v>
      </c>
      <c r="C158" s="58">
        <f t="shared" si="16"/>
        <v>78</v>
      </c>
      <c r="D158" s="58">
        <f t="shared" si="17"/>
        <v>6</v>
      </c>
      <c r="E158" s="15">
        <f t="shared" ca="1" si="18"/>
        <v>2.7804878048780486</v>
      </c>
      <c r="F158" s="16" t="str">
        <f>IF(ISNUMBER(C158),IF(AND(RESULTS!$C$36&lt;=C158,C158&lt;=RESULTS!$D$36),E158,""),"")</f>
        <v/>
      </c>
      <c r="G158" s="16" t="str">
        <f t="shared" ca="1" si="19"/>
        <v/>
      </c>
      <c r="H158" s="16" t="str">
        <f>IF(ISNUMBER(C158),IF(AND(RESULTS!$C$37&lt;=C158,C158&lt;=RESULTS!$D$37),E158,""),"")</f>
        <v/>
      </c>
      <c r="I158" s="16" t="str">
        <f t="shared" ca="1" si="20"/>
        <v/>
      </c>
      <c r="J158" s="16" t="str">
        <f>IF(ISNUMBER(C158),IF(AND(RESULTS!$C$38&lt;=C158,C158&lt;=RESULTS!$D$38),E158,""),"")</f>
        <v/>
      </c>
      <c r="K158" s="16" t="str">
        <f t="shared" ca="1" si="21"/>
        <v/>
      </c>
      <c r="L158" s="16" t="str">
        <f>IF(ISNUMBER(C158),IF(AND(RESULTS!$C$39&lt;=C158,C158&lt;=RESULTS!$D$39),E158,""),"")</f>
        <v/>
      </c>
      <c r="M158" s="16" t="str">
        <f t="shared" ca="1" si="22"/>
        <v/>
      </c>
      <c r="N158" s="16" t="str">
        <f>IF(ISNUMBER(C158),IF(AND(RESULTS!$C$40&lt;=C158,C158&lt;=RESULTS!$D$40),E158,""),"")</f>
        <v/>
      </c>
      <c r="O158" s="16" t="str">
        <f t="shared" ca="1" si="23"/>
        <v/>
      </c>
    </row>
    <row r="159" spans="1:15" x14ac:dyDescent="0.25">
      <c r="A159" s="14">
        <v>78.5</v>
      </c>
      <c r="B159" s="14">
        <v>7</v>
      </c>
      <c r="C159" s="58">
        <f t="shared" si="16"/>
        <v>78.5</v>
      </c>
      <c r="D159" s="58">
        <f t="shared" si="17"/>
        <v>7</v>
      </c>
      <c r="E159" s="15">
        <f t="shared" ca="1" si="18"/>
        <v>3.7804878048780486</v>
      </c>
      <c r="F159" s="16" t="str">
        <f>IF(ISNUMBER(C159),IF(AND(RESULTS!$C$36&lt;=C159,C159&lt;=RESULTS!$D$36),E159,""),"")</f>
        <v/>
      </c>
      <c r="G159" s="16" t="str">
        <f t="shared" ca="1" si="19"/>
        <v/>
      </c>
      <c r="H159" s="16" t="str">
        <f>IF(ISNUMBER(C159),IF(AND(RESULTS!$C$37&lt;=C159,C159&lt;=RESULTS!$D$37),E159,""),"")</f>
        <v/>
      </c>
      <c r="I159" s="16" t="str">
        <f t="shared" ca="1" si="20"/>
        <v/>
      </c>
      <c r="J159" s="16" t="str">
        <f>IF(ISNUMBER(C159),IF(AND(RESULTS!$C$38&lt;=C159,C159&lt;=RESULTS!$D$38),E159,""),"")</f>
        <v/>
      </c>
      <c r="K159" s="16" t="str">
        <f t="shared" ca="1" si="21"/>
        <v/>
      </c>
      <c r="L159" s="16" t="str">
        <f>IF(ISNUMBER(C159),IF(AND(RESULTS!$C$39&lt;=C159,C159&lt;=RESULTS!$D$39),E159,""),"")</f>
        <v/>
      </c>
      <c r="M159" s="16" t="str">
        <f t="shared" ca="1" si="22"/>
        <v/>
      </c>
      <c r="N159" s="16" t="str">
        <f>IF(ISNUMBER(C159),IF(AND(RESULTS!$C$40&lt;=C159,C159&lt;=RESULTS!$D$40),E159,""),"")</f>
        <v/>
      </c>
      <c r="O159" s="16" t="str">
        <f t="shared" ca="1" si="23"/>
        <v/>
      </c>
    </row>
    <row r="160" spans="1:15" x14ac:dyDescent="0.25">
      <c r="A160" s="14">
        <v>79</v>
      </c>
      <c r="B160" s="14">
        <v>3</v>
      </c>
      <c r="C160" s="58">
        <f t="shared" si="16"/>
        <v>79</v>
      </c>
      <c r="D160" s="58">
        <f t="shared" si="17"/>
        <v>3</v>
      </c>
      <c r="E160" s="15">
        <f t="shared" ca="1" si="18"/>
        <v>0</v>
      </c>
      <c r="F160" s="16" t="str">
        <f>IF(ISNUMBER(C160),IF(AND(RESULTS!$C$36&lt;=C160,C160&lt;=RESULTS!$D$36),E160,""),"")</f>
        <v/>
      </c>
      <c r="G160" s="16" t="str">
        <f t="shared" ca="1" si="19"/>
        <v/>
      </c>
      <c r="H160" s="16" t="str">
        <f>IF(ISNUMBER(C160),IF(AND(RESULTS!$C$37&lt;=C160,C160&lt;=RESULTS!$D$37),E160,""),"")</f>
        <v/>
      </c>
      <c r="I160" s="16" t="str">
        <f t="shared" ca="1" si="20"/>
        <v/>
      </c>
      <c r="J160" s="16" t="str">
        <f>IF(ISNUMBER(C160),IF(AND(RESULTS!$C$38&lt;=C160,C160&lt;=RESULTS!$D$38),E160,""),"")</f>
        <v/>
      </c>
      <c r="K160" s="16" t="str">
        <f t="shared" ca="1" si="21"/>
        <v/>
      </c>
      <c r="L160" s="16" t="str">
        <f>IF(ISNUMBER(C160),IF(AND(RESULTS!$C$39&lt;=C160,C160&lt;=RESULTS!$D$39),E160,""),"")</f>
        <v/>
      </c>
      <c r="M160" s="16" t="str">
        <f t="shared" ca="1" si="22"/>
        <v/>
      </c>
      <c r="N160" s="16" t="str">
        <f>IF(ISNUMBER(C160),IF(AND(RESULTS!$C$40&lt;=C160,C160&lt;=RESULTS!$D$40),E160,""),"")</f>
        <v/>
      </c>
      <c r="O160" s="16" t="str">
        <f t="shared" ca="1" si="23"/>
        <v/>
      </c>
    </row>
    <row r="161" spans="1:15" x14ac:dyDescent="0.25">
      <c r="A161" s="14">
        <v>79.5</v>
      </c>
      <c r="B161" s="14">
        <v>3</v>
      </c>
      <c r="C161" s="58">
        <f t="shared" si="16"/>
        <v>79.5</v>
      </c>
      <c r="D161" s="58">
        <f t="shared" si="17"/>
        <v>3</v>
      </c>
      <c r="E161" s="15">
        <f t="shared" ca="1" si="18"/>
        <v>0</v>
      </c>
      <c r="F161" s="16" t="str">
        <f>IF(ISNUMBER(C161),IF(AND(RESULTS!$C$36&lt;=C161,C161&lt;=RESULTS!$D$36),E161,""),"")</f>
        <v/>
      </c>
      <c r="G161" s="16" t="str">
        <f t="shared" ca="1" si="19"/>
        <v/>
      </c>
      <c r="H161" s="16" t="str">
        <f>IF(ISNUMBER(C161),IF(AND(RESULTS!$C$37&lt;=C161,C161&lt;=RESULTS!$D$37),E161,""),"")</f>
        <v/>
      </c>
      <c r="I161" s="16" t="str">
        <f t="shared" ca="1" si="20"/>
        <v/>
      </c>
      <c r="J161" s="16" t="str">
        <f>IF(ISNUMBER(C161),IF(AND(RESULTS!$C$38&lt;=C161,C161&lt;=RESULTS!$D$38),E161,""),"")</f>
        <v/>
      </c>
      <c r="K161" s="16" t="str">
        <f t="shared" ca="1" si="21"/>
        <v/>
      </c>
      <c r="L161" s="16" t="str">
        <f>IF(ISNUMBER(C161),IF(AND(RESULTS!$C$39&lt;=C161,C161&lt;=RESULTS!$D$39),E161,""),"")</f>
        <v/>
      </c>
      <c r="M161" s="16" t="str">
        <f t="shared" ca="1" si="22"/>
        <v/>
      </c>
      <c r="N161" s="16" t="str">
        <f>IF(ISNUMBER(C161),IF(AND(RESULTS!$C$40&lt;=C161,C161&lt;=RESULTS!$D$40),E161,""),"")</f>
        <v/>
      </c>
      <c r="O161" s="16" t="str">
        <f t="shared" ca="1" si="23"/>
        <v/>
      </c>
    </row>
    <row r="162" spans="1:15" x14ac:dyDescent="0.25">
      <c r="A162" s="14">
        <v>80</v>
      </c>
      <c r="B162" s="14">
        <v>4</v>
      </c>
      <c r="C162" s="58">
        <f t="shared" si="16"/>
        <v>80</v>
      </c>
      <c r="D162" s="58">
        <f t="shared" si="17"/>
        <v>4</v>
      </c>
      <c r="E162" s="15">
        <f t="shared" ca="1" si="18"/>
        <v>0.78048780487804859</v>
      </c>
      <c r="F162" s="16" t="str">
        <f>IF(ISNUMBER(C162),IF(AND(RESULTS!$C$36&lt;=C162,C162&lt;=RESULTS!$D$36),E162,""),"")</f>
        <v/>
      </c>
      <c r="G162" s="16" t="str">
        <f t="shared" ca="1" si="19"/>
        <v/>
      </c>
      <c r="H162" s="16">
        <f ca="1">IF(ISNUMBER(C162),IF(AND(RESULTS!$C$37&lt;=C162,C162&lt;=RESULTS!$D$37),E162,""),"")</f>
        <v>0.78048780487804859</v>
      </c>
      <c r="I162" s="16" t="str">
        <f t="shared" ca="1" si="20"/>
        <v/>
      </c>
      <c r="J162" s="16" t="str">
        <f>IF(ISNUMBER(C162),IF(AND(RESULTS!$C$38&lt;=C162,C162&lt;=RESULTS!$D$38),E162,""),"")</f>
        <v/>
      </c>
      <c r="K162" s="16" t="str">
        <f t="shared" ca="1" si="21"/>
        <v/>
      </c>
      <c r="L162" s="16" t="str">
        <f>IF(ISNUMBER(C162),IF(AND(RESULTS!$C$39&lt;=C162,C162&lt;=RESULTS!$D$39),E162,""),"")</f>
        <v/>
      </c>
      <c r="M162" s="16" t="str">
        <f t="shared" ca="1" si="22"/>
        <v/>
      </c>
      <c r="N162" s="16" t="str">
        <f>IF(ISNUMBER(C162),IF(AND(RESULTS!$C$40&lt;=C162,C162&lt;=RESULTS!$D$40),E162,""),"")</f>
        <v/>
      </c>
      <c r="O162" s="16" t="str">
        <f t="shared" ca="1" si="23"/>
        <v/>
      </c>
    </row>
    <row r="163" spans="1:15" x14ac:dyDescent="0.25">
      <c r="A163" s="14">
        <v>80.5</v>
      </c>
      <c r="B163" s="14">
        <v>1</v>
      </c>
      <c r="C163" s="58">
        <f t="shared" si="16"/>
        <v>80.5</v>
      </c>
      <c r="D163" s="58">
        <f t="shared" si="17"/>
        <v>1</v>
      </c>
      <c r="E163" s="15">
        <f t="shared" ca="1" si="18"/>
        <v>0</v>
      </c>
      <c r="F163" s="16" t="str">
        <f>IF(ISNUMBER(C163),IF(AND(RESULTS!$C$36&lt;=C163,C163&lt;=RESULTS!$D$36),E163,""),"")</f>
        <v/>
      </c>
      <c r="G163" s="16" t="str">
        <f t="shared" ca="1" si="19"/>
        <v/>
      </c>
      <c r="H163" s="16">
        <f ca="1">IF(ISNUMBER(C163),IF(AND(RESULTS!$C$37&lt;=C163,C163&lt;=RESULTS!$D$37),E163,""),"")</f>
        <v>0</v>
      </c>
      <c r="I163" s="16" t="str">
        <f t="shared" ca="1" si="20"/>
        <v/>
      </c>
      <c r="J163" s="16" t="str">
        <f>IF(ISNUMBER(C163),IF(AND(RESULTS!$C$38&lt;=C163,C163&lt;=RESULTS!$D$38),E163,""),"")</f>
        <v/>
      </c>
      <c r="K163" s="16" t="str">
        <f t="shared" ca="1" si="21"/>
        <v/>
      </c>
      <c r="L163" s="16" t="str">
        <f>IF(ISNUMBER(C163),IF(AND(RESULTS!$C$39&lt;=C163,C163&lt;=RESULTS!$D$39),E163,""),"")</f>
        <v/>
      </c>
      <c r="M163" s="16" t="str">
        <f t="shared" ca="1" si="22"/>
        <v/>
      </c>
      <c r="N163" s="16" t="str">
        <f>IF(ISNUMBER(C163),IF(AND(RESULTS!$C$40&lt;=C163,C163&lt;=RESULTS!$D$40),E163,""),"")</f>
        <v/>
      </c>
      <c r="O163" s="16" t="str">
        <f t="shared" ca="1" si="23"/>
        <v/>
      </c>
    </row>
    <row r="164" spans="1:15" x14ac:dyDescent="0.25">
      <c r="A164" s="14">
        <v>81</v>
      </c>
      <c r="B164" s="14">
        <v>5</v>
      </c>
      <c r="C164" s="58">
        <f t="shared" si="16"/>
        <v>81</v>
      </c>
      <c r="D164" s="58">
        <f t="shared" si="17"/>
        <v>5</v>
      </c>
      <c r="E164" s="15">
        <f t="shared" ca="1" si="18"/>
        <v>1.7804878048780486</v>
      </c>
      <c r="F164" s="16" t="str">
        <f>IF(ISNUMBER(C164),IF(AND(RESULTS!$C$36&lt;=C164,C164&lt;=RESULTS!$D$36),E164,""),"")</f>
        <v/>
      </c>
      <c r="G164" s="16" t="str">
        <f t="shared" ca="1" si="19"/>
        <v/>
      </c>
      <c r="H164" s="16">
        <f ca="1">IF(ISNUMBER(C164),IF(AND(RESULTS!$C$37&lt;=C164,C164&lt;=RESULTS!$D$37),E164,""),"")</f>
        <v>1.7804878048780486</v>
      </c>
      <c r="I164" s="16" t="str">
        <f t="shared" ca="1" si="20"/>
        <v/>
      </c>
      <c r="J164" s="16" t="str">
        <f>IF(ISNUMBER(C164),IF(AND(RESULTS!$C$38&lt;=C164,C164&lt;=RESULTS!$D$38),E164,""),"")</f>
        <v/>
      </c>
      <c r="K164" s="16" t="str">
        <f t="shared" ca="1" si="21"/>
        <v/>
      </c>
      <c r="L164" s="16" t="str">
        <f>IF(ISNUMBER(C164),IF(AND(RESULTS!$C$39&lt;=C164,C164&lt;=RESULTS!$D$39),E164,""),"")</f>
        <v/>
      </c>
      <c r="M164" s="16" t="str">
        <f t="shared" ca="1" si="22"/>
        <v/>
      </c>
      <c r="N164" s="16" t="str">
        <f>IF(ISNUMBER(C164),IF(AND(RESULTS!$C$40&lt;=C164,C164&lt;=RESULTS!$D$40),E164,""),"")</f>
        <v/>
      </c>
      <c r="O164" s="16" t="str">
        <f t="shared" ca="1" si="23"/>
        <v/>
      </c>
    </row>
    <row r="165" spans="1:15" x14ac:dyDescent="0.25">
      <c r="A165" s="14">
        <v>81.5</v>
      </c>
      <c r="B165" s="14">
        <v>6</v>
      </c>
      <c r="C165" s="58">
        <f t="shared" si="16"/>
        <v>81.5</v>
      </c>
      <c r="D165" s="58">
        <f t="shared" si="17"/>
        <v>6</v>
      </c>
      <c r="E165" s="15">
        <f t="shared" ca="1" si="18"/>
        <v>2.7804878048780486</v>
      </c>
      <c r="F165" s="16" t="str">
        <f>IF(ISNUMBER(C165),IF(AND(RESULTS!$C$36&lt;=C165,C165&lt;=RESULTS!$D$36),E165,""),"")</f>
        <v/>
      </c>
      <c r="G165" s="16" t="str">
        <f t="shared" ca="1" si="19"/>
        <v/>
      </c>
      <c r="H165" s="16">
        <f ca="1">IF(ISNUMBER(C165),IF(AND(RESULTS!$C$37&lt;=C165,C165&lt;=RESULTS!$D$37),E165,""),"")</f>
        <v>2.7804878048780486</v>
      </c>
      <c r="I165" s="16" t="str">
        <f t="shared" ca="1" si="20"/>
        <v/>
      </c>
      <c r="J165" s="16" t="str">
        <f>IF(ISNUMBER(C165),IF(AND(RESULTS!$C$38&lt;=C165,C165&lt;=RESULTS!$D$38),E165,""),"")</f>
        <v/>
      </c>
      <c r="K165" s="16" t="str">
        <f t="shared" ca="1" si="21"/>
        <v/>
      </c>
      <c r="L165" s="16" t="str">
        <f>IF(ISNUMBER(C165),IF(AND(RESULTS!$C$39&lt;=C165,C165&lt;=RESULTS!$D$39),E165,""),"")</f>
        <v/>
      </c>
      <c r="M165" s="16" t="str">
        <f t="shared" ca="1" si="22"/>
        <v/>
      </c>
      <c r="N165" s="16" t="str">
        <f>IF(ISNUMBER(C165),IF(AND(RESULTS!$C$40&lt;=C165,C165&lt;=RESULTS!$D$40),E165,""),"")</f>
        <v/>
      </c>
      <c r="O165" s="16" t="str">
        <f t="shared" ca="1" si="23"/>
        <v/>
      </c>
    </row>
    <row r="166" spans="1:15" x14ac:dyDescent="0.25">
      <c r="A166" s="14">
        <v>82</v>
      </c>
      <c r="B166" s="14">
        <v>8</v>
      </c>
      <c r="C166" s="58">
        <f t="shared" si="16"/>
        <v>82</v>
      </c>
      <c r="D166" s="58">
        <f t="shared" si="17"/>
        <v>8</v>
      </c>
      <c r="E166" s="15">
        <f t="shared" ca="1" si="18"/>
        <v>4.7804878048780486</v>
      </c>
      <c r="F166" s="16" t="str">
        <f>IF(ISNUMBER(C166),IF(AND(RESULTS!$C$36&lt;=C166,C166&lt;=RESULTS!$D$36),E166,""),"")</f>
        <v/>
      </c>
      <c r="G166" s="16" t="str">
        <f t="shared" ca="1" si="19"/>
        <v/>
      </c>
      <c r="H166" s="16">
        <f ca="1">IF(ISNUMBER(C166),IF(AND(RESULTS!$C$37&lt;=C166,C166&lt;=RESULTS!$D$37),E166,""),"")</f>
        <v>4.7804878048780486</v>
      </c>
      <c r="I166" s="16">
        <f t="shared" ca="1" si="20"/>
        <v>82</v>
      </c>
      <c r="J166" s="16" t="str">
        <f>IF(ISNUMBER(C166),IF(AND(RESULTS!$C$38&lt;=C166,C166&lt;=RESULTS!$D$38),E166,""),"")</f>
        <v/>
      </c>
      <c r="K166" s="16" t="str">
        <f t="shared" ca="1" si="21"/>
        <v/>
      </c>
      <c r="L166" s="16" t="str">
        <f>IF(ISNUMBER(C166),IF(AND(RESULTS!$C$39&lt;=C166,C166&lt;=RESULTS!$D$39),E166,""),"")</f>
        <v/>
      </c>
      <c r="M166" s="16" t="str">
        <f t="shared" ca="1" si="22"/>
        <v/>
      </c>
      <c r="N166" s="16" t="str">
        <f>IF(ISNUMBER(C166),IF(AND(RESULTS!$C$40&lt;=C166,C166&lt;=RESULTS!$D$40),E166,""),"")</f>
        <v/>
      </c>
      <c r="O166" s="16" t="str">
        <f t="shared" ca="1" si="23"/>
        <v/>
      </c>
    </row>
    <row r="167" spans="1:15" x14ac:dyDescent="0.25">
      <c r="A167" s="14">
        <v>82.5</v>
      </c>
      <c r="B167" s="14">
        <v>5</v>
      </c>
      <c r="C167" s="58">
        <f t="shared" si="16"/>
        <v>82.5</v>
      </c>
      <c r="D167" s="58">
        <f t="shared" si="17"/>
        <v>5</v>
      </c>
      <c r="E167" s="15">
        <f t="shared" ca="1" si="18"/>
        <v>1.7804878048780486</v>
      </c>
      <c r="F167" s="16" t="str">
        <f>IF(ISNUMBER(C167),IF(AND(RESULTS!$C$36&lt;=C167,C167&lt;=RESULTS!$D$36),E167,""),"")</f>
        <v/>
      </c>
      <c r="G167" s="16" t="str">
        <f t="shared" ca="1" si="19"/>
        <v/>
      </c>
      <c r="H167" s="16">
        <f ca="1">IF(ISNUMBER(C167),IF(AND(RESULTS!$C$37&lt;=C167,C167&lt;=RESULTS!$D$37),E167,""),"")</f>
        <v>1.7804878048780486</v>
      </c>
      <c r="I167" s="16" t="str">
        <f t="shared" ca="1" si="20"/>
        <v/>
      </c>
      <c r="J167" s="16" t="str">
        <f>IF(ISNUMBER(C167),IF(AND(RESULTS!$C$38&lt;=C167,C167&lt;=RESULTS!$D$38),E167,""),"")</f>
        <v/>
      </c>
      <c r="K167" s="16" t="str">
        <f t="shared" ca="1" si="21"/>
        <v/>
      </c>
      <c r="L167" s="16" t="str">
        <f>IF(ISNUMBER(C167),IF(AND(RESULTS!$C$39&lt;=C167,C167&lt;=RESULTS!$D$39),E167,""),"")</f>
        <v/>
      </c>
      <c r="M167" s="16" t="str">
        <f t="shared" ca="1" si="22"/>
        <v/>
      </c>
      <c r="N167" s="16" t="str">
        <f>IF(ISNUMBER(C167),IF(AND(RESULTS!$C$40&lt;=C167,C167&lt;=RESULTS!$D$40),E167,""),"")</f>
        <v/>
      </c>
      <c r="O167" s="16" t="str">
        <f t="shared" ca="1" si="23"/>
        <v/>
      </c>
    </row>
    <row r="168" spans="1:15" x14ac:dyDescent="0.25">
      <c r="A168" s="14">
        <v>83</v>
      </c>
      <c r="B168" s="14">
        <v>5</v>
      </c>
      <c r="C168" s="58">
        <f t="shared" si="16"/>
        <v>83</v>
      </c>
      <c r="D168" s="58">
        <f t="shared" si="17"/>
        <v>5</v>
      </c>
      <c r="E168" s="15">
        <f t="shared" ca="1" si="18"/>
        <v>1.7804878048780486</v>
      </c>
      <c r="F168" s="16" t="str">
        <f>IF(ISNUMBER(C168),IF(AND(RESULTS!$C$36&lt;=C168,C168&lt;=RESULTS!$D$36),E168,""),"")</f>
        <v/>
      </c>
      <c r="G168" s="16" t="str">
        <f t="shared" ca="1" si="19"/>
        <v/>
      </c>
      <c r="H168" s="16">
        <f ca="1">IF(ISNUMBER(C168),IF(AND(RESULTS!$C$37&lt;=C168,C168&lt;=RESULTS!$D$37),E168,""),"")</f>
        <v>1.7804878048780486</v>
      </c>
      <c r="I168" s="16" t="str">
        <f t="shared" ca="1" si="20"/>
        <v/>
      </c>
      <c r="J168" s="16" t="str">
        <f>IF(ISNUMBER(C168),IF(AND(RESULTS!$C$38&lt;=C168,C168&lt;=RESULTS!$D$38),E168,""),"")</f>
        <v/>
      </c>
      <c r="K168" s="16" t="str">
        <f t="shared" ca="1" si="21"/>
        <v/>
      </c>
      <c r="L168" s="16" t="str">
        <f>IF(ISNUMBER(C168),IF(AND(RESULTS!$C$39&lt;=C168,C168&lt;=RESULTS!$D$39),E168,""),"")</f>
        <v/>
      </c>
      <c r="M168" s="16" t="str">
        <f t="shared" ca="1" si="22"/>
        <v/>
      </c>
      <c r="N168" s="16" t="str">
        <f>IF(ISNUMBER(C168),IF(AND(RESULTS!$C$40&lt;=C168,C168&lt;=RESULTS!$D$40),E168,""),"")</f>
        <v/>
      </c>
      <c r="O168" s="16" t="str">
        <f t="shared" ca="1" si="23"/>
        <v/>
      </c>
    </row>
    <row r="169" spans="1:15" x14ac:dyDescent="0.25">
      <c r="A169" s="14">
        <v>83.5</v>
      </c>
      <c r="B169" s="14">
        <v>2</v>
      </c>
      <c r="C169" s="58">
        <f t="shared" si="16"/>
        <v>83.5</v>
      </c>
      <c r="D169" s="58">
        <f t="shared" si="17"/>
        <v>2</v>
      </c>
      <c r="E169" s="15">
        <f t="shared" ca="1" si="18"/>
        <v>0</v>
      </c>
      <c r="F169" s="16" t="str">
        <f>IF(ISNUMBER(C169),IF(AND(RESULTS!$C$36&lt;=C169,C169&lt;=RESULTS!$D$36),E169,""),"")</f>
        <v/>
      </c>
      <c r="G169" s="16" t="str">
        <f t="shared" ca="1" si="19"/>
        <v/>
      </c>
      <c r="H169" s="16">
        <f ca="1">IF(ISNUMBER(C169),IF(AND(RESULTS!$C$37&lt;=C169,C169&lt;=RESULTS!$D$37),E169,""),"")</f>
        <v>0</v>
      </c>
      <c r="I169" s="16" t="str">
        <f t="shared" ca="1" si="20"/>
        <v/>
      </c>
      <c r="J169" s="16" t="str">
        <f>IF(ISNUMBER(C169),IF(AND(RESULTS!$C$38&lt;=C169,C169&lt;=RESULTS!$D$38),E169,""),"")</f>
        <v/>
      </c>
      <c r="K169" s="16" t="str">
        <f t="shared" ca="1" si="21"/>
        <v/>
      </c>
      <c r="L169" s="16" t="str">
        <f>IF(ISNUMBER(C169),IF(AND(RESULTS!$C$39&lt;=C169,C169&lt;=RESULTS!$D$39),E169,""),"")</f>
        <v/>
      </c>
      <c r="M169" s="16" t="str">
        <f t="shared" ca="1" si="22"/>
        <v/>
      </c>
      <c r="N169" s="16" t="str">
        <f>IF(ISNUMBER(C169),IF(AND(RESULTS!$C$40&lt;=C169,C169&lt;=RESULTS!$D$40),E169,""),"")</f>
        <v/>
      </c>
      <c r="O169" s="16" t="str">
        <f t="shared" ca="1" si="23"/>
        <v/>
      </c>
    </row>
    <row r="170" spans="1:15" x14ac:dyDescent="0.25">
      <c r="A170" s="14">
        <v>84</v>
      </c>
      <c r="B170" s="14">
        <v>7</v>
      </c>
      <c r="C170" s="58">
        <f t="shared" si="16"/>
        <v>84</v>
      </c>
      <c r="D170" s="58">
        <f t="shared" si="17"/>
        <v>7</v>
      </c>
      <c r="E170" s="15">
        <f t="shared" ca="1" si="18"/>
        <v>3.7804878048780486</v>
      </c>
      <c r="F170" s="16" t="str">
        <f>IF(ISNUMBER(C170),IF(AND(RESULTS!$C$36&lt;=C170,C170&lt;=RESULTS!$D$36),E170,""),"")</f>
        <v/>
      </c>
      <c r="G170" s="16" t="str">
        <f t="shared" ca="1" si="19"/>
        <v/>
      </c>
      <c r="H170" s="16">
        <f ca="1">IF(ISNUMBER(C170),IF(AND(RESULTS!$C$37&lt;=C170,C170&lt;=RESULTS!$D$37),E170,""),"")</f>
        <v>3.7804878048780486</v>
      </c>
      <c r="I170" s="16">
        <f t="shared" ca="1" si="20"/>
        <v>84</v>
      </c>
      <c r="J170" s="16" t="str">
        <f>IF(ISNUMBER(C170),IF(AND(RESULTS!$C$38&lt;=C170,C170&lt;=RESULTS!$D$38),E170,""),"")</f>
        <v/>
      </c>
      <c r="K170" s="16" t="str">
        <f t="shared" ca="1" si="21"/>
        <v/>
      </c>
      <c r="L170" s="16" t="str">
        <f>IF(ISNUMBER(C170),IF(AND(RESULTS!$C$39&lt;=C170,C170&lt;=RESULTS!$D$39),E170,""),"")</f>
        <v/>
      </c>
      <c r="M170" s="16" t="str">
        <f t="shared" ca="1" si="22"/>
        <v/>
      </c>
      <c r="N170" s="16" t="str">
        <f>IF(ISNUMBER(C170),IF(AND(RESULTS!$C$40&lt;=C170,C170&lt;=RESULTS!$D$40),E170,""),"")</f>
        <v/>
      </c>
      <c r="O170" s="16" t="str">
        <f t="shared" ca="1" si="23"/>
        <v/>
      </c>
    </row>
    <row r="171" spans="1:15" x14ac:dyDescent="0.25">
      <c r="A171" s="14">
        <v>84.5</v>
      </c>
      <c r="B171" s="14">
        <v>5</v>
      </c>
      <c r="C171" s="58">
        <f t="shared" si="16"/>
        <v>84.5</v>
      </c>
      <c r="D171" s="58">
        <f t="shared" si="17"/>
        <v>5</v>
      </c>
      <c r="E171" s="15">
        <f t="shared" ca="1" si="18"/>
        <v>1.7804878048780486</v>
      </c>
      <c r="F171" s="16" t="str">
        <f>IF(ISNUMBER(C171),IF(AND(RESULTS!$C$36&lt;=C171,C171&lt;=RESULTS!$D$36),E171,""),"")</f>
        <v/>
      </c>
      <c r="G171" s="16" t="str">
        <f t="shared" ca="1" si="19"/>
        <v/>
      </c>
      <c r="H171" s="16">
        <f ca="1">IF(ISNUMBER(C171),IF(AND(RESULTS!$C$37&lt;=C171,C171&lt;=RESULTS!$D$37),E171,""),"")</f>
        <v>1.7804878048780486</v>
      </c>
      <c r="I171" s="16" t="str">
        <f t="shared" ca="1" si="20"/>
        <v/>
      </c>
      <c r="J171" s="16" t="str">
        <f>IF(ISNUMBER(C171),IF(AND(RESULTS!$C$38&lt;=C171,C171&lt;=RESULTS!$D$38),E171,""),"")</f>
        <v/>
      </c>
      <c r="K171" s="16" t="str">
        <f t="shared" ca="1" si="21"/>
        <v/>
      </c>
      <c r="L171" s="16" t="str">
        <f>IF(ISNUMBER(C171),IF(AND(RESULTS!$C$39&lt;=C171,C171&lt;=RESULTS!$D$39),E171,""),"")</f>
        <v/>
      </c>
      <c r="M171" s="16" t="str">
        <f t="shared" ca="1" si="22"/>
        <v/>
      </c>
      <c r="N171" s="16" t="str">
        <f>IF(ISNUMBER(C171),IF(AND(RESULTS!$C$40&lt;=C171,C171&lt;=RESULTS!$D$40),E171,""),"")</f>
        <v/>
      </c>
      <c r="O171" s="16" t="str">
        <f t="shared" ca="1" si="23"/>
        <v/>
      </c>
    </row>
    <row r="172" spans="1:15" x14ac:dyDescent="0.25">
      <c r="A172" s="14">
        <v>85</v>
      </c>
      <c r="B172" s="14">
        <v>3</v>
      </c>
      <c r="C172" s="58">
        <f t="shared" si="16"/>
        <v>85</v>
      </c>
      <c r="D172" s="58">
        <f t="shared" si="17"/>
        <v>3</v>
      </c>
      <c r="E172" s="15">
        <f t="shared" ca="1" si="18"/>
        <v>0</v>
      </c>
      <c r="F172" s="16" t="str">
        <f>IF(ISNUMBER(C172),IF(AND(RESULTS!$C$36&lt;=C172,C172&lt;=RESULTS!$D$36),E172,""),"")</f>
        <v/>
      </c>
      <c r="G172" s="16" t="str">
        <f t="shared" ca="1" si="19"/>
        <v/>
      </c>
      <c r="H172" s="16">
        <f ca="1">IF(ISNUMBER(C172),IF(AND(RESULTS!$C$37&lt;=C172,C172&lt;=RESULTS!$D$37),E172,""),"")</f>
        <v>0</v>
      </c>
      <c r="I172" s="16" t="str">
        <f t="shared" ca="1" si="20"/>
        <v/>
      </c>
      <c r="J172" s="16" t="str">
        <f>IF(ISNUMBER(C172),IF(AND(RESULTS!$C$38&lt;=C172,C172&lt;=RESULTS!$D$38),E172,""),"")</f>
        <v/>
      </c>
      <c r="K172" s="16" t="str">
        <f t="shared" ca="1" si="21"/>
        <v/>
      </c>
      <c r="L172" s="16" t="str">
        <f>IF(ISNUMBER(C172),IF(AND(RESULTS!$C$39&lt;=C172,C172&lt;=RESULTS!$D$39),E172,""),"")</f>
        <v/>
      </c>
      <c r="M172" s="16" t="str">
        <f t="shared" ca="1" si="22"/>
        <v/>
      </c>
      <c r="N172" s="16" t="str">
        <f>IF(ISNUMBER(C172),IF(AND(RESULTS!$C$40&lt;=C172,C172&lt;=RESULTS!$D$40),E172,""),"")</f>
        <v/>
      </c>
      <c r="O172" s="16" t="str">
        <f t="shared" ca="1" si="23"/>
        <v/>
      </c>
    </row>
    <row r="173" spans="1:15" x14ac:dyDescent="0.25">
      <c r="A173" s="14">
        <v>85.5</v>
      </c>
      <c r="B173" s="14">
        <v>7</v>
      </c>
      <c r="C173" s="58">
        <f t="shared" si="16"/>
        <v>85.5</v>
      </c>
      <c r="D173" s="58">
        <f t="shared" si="17"/>
        <v>7</v>
      </c>
      <c r="E173" s="15">
        <f t="shared" ca="1" si="18"/>
        <v>3.7804878048780486</v>
      </c>
      <c r="F173" s="16" t="str">
        <f>IF(ISNUMBER(C173),IF(AND(RESULTS!$C$36&lt;=C173,C173&lt;=RESULTS!$D$36),E173,""),"")</f>
        <v/>
      </c>
      <c r="G173" s="16" t="str">
        <f t="shared" ca="1" si="19"/>
        <v/>
      </c>
      <c r="H173" s="16">
        <f ca="1">IF(ISNUMBER(C173),IF(AND(RESULTS!$C$37&lt;=C173,C173&lt;=RESULTS!$D$37),E173,""),"")</f>
        <v>3.7804878048780486</v>
      </c>
      <c r="I173" s="16">
        <f t="shared" ca="1" si="20"/>
        <v>85.5</v>
      </c>
      <c r="J173" s="16" t="str">
        <f>IF(ISNUMBER(C173),IF(AND(RESULTS!$C$38&lt;=C173,C173&lt;=RESULTS!$D$38),E173,""),"")</f>
        <v/>
      </c>
      <c r="K173" s="16" t="str">
        <f t="shared" ca="1" si="21"/>
        <v/>
      </c>
      <c r="L173" s="16" t="str">
        <f>IF(ISNUMBER(C173),IF(AND(RESULTS!$C$39&lt;=C173,C173&lt;=RESULTS!$D$39),E173,""),"")</f>
        <v/>
      </c>
      <c r="M173" s="16" t="str">
        <f t="shared" ca="1" si="22"/>
        <v/>
      </c>
      <c r="N173" s="16" t="str">
        <f>IF(ISNUMBER(C173),IF(AND(RESULTS!$C$40&lt;=C173,C173&lt;=RESULTS!$D$40),E173,""),"")</f>
        <v/>
      </c>
      <c r="O173" s="16" t="str">
        <f t="shared" ca="1" si="23"/>
        <v/>
      </c>
    </row>
    <row r="174" spans="1:15" x14ac:dyDescent="0.25">
      <c r="A174" s="14">
        <v>86</v>
      </c>
      <c r="B174" s="14">
        <v>4</v>
      </c>
      <c r="C174" s="58">
        <f t="shared" si="16"/>
        <v>86</v>
      </c>
      <c r="D174" s="58">
        <f t="shared" si="17"/>
        <v>4</v>
      </c>
      <c r="E174" s="15">
        <f t="shared" ca="1" si="18"/>
        <v>0.78048780487804859</v>
      </c>
      <c r="F174" s="16" t="str">
        <f>IF(ISNUMBER(C174),IF(AND(RESULTS!$C$36&lt;=C174,C174&lt;=RESULTS!$D$36),E174,""),"")</f>
        <v/>
      </c>
      <c r="G174" s="16" t="str">
        <f t="shared" ca="1" si="19"/>
        <v/>
      </c>
      <c r="H174" s="16">
        <f ca="1">IF(ISNUMBER(C174),IF(AND(RESULTS!$C$37&lt;=C174,C174&lt;=RESULTS!$D$37),E174,""),"")</f>
        <v>0.78048780487804859</v>
      </c>
      <c r="I174" s="16" t="str">
        <f t="shared" ca="1" si="20"/>
        <v/>
      </c>
      <c r="J174" s="16" t="str">
        <f>IF(ISNUMBER(C174),IF(AND(RESULTS!$C$38&lt;=C174,C174&lt;=RESULTS!$D$38),E174,""),"")</f>
        <v/>
      </c>
      <c r="K174" s="16" t="str">
        <f t="shared" ca="1" si="21"/>
        <v/>
      </c>
      <c r="L174" s="16" t="str">
        <f>IF(ISNUMBER(C174),IF(AND(RESULTS!$C$39&lt;=C174,C174&lt;=RESULTS!$D$39),E174,""),"")</f>
        <v/>
      </c>
      <c r="M174" s="16" t="str">
        <f t="shared" ca="1" si="22"/>
        <v/>
      </c>
      <c r="N174" s="16" t="str">
        <f>IF(ISNUMBER(C174),IF(AND(RESULTS!$C$40&lt;=C174,C174&lt;=RESULTS!$D$40),E174,""),"")</f>
        <v/>
      </c>
      <c r="O174" s="16" t="str">
        <f t="shared" ca="1" si="23"/>
        <v/>
      </c>
    </row>
    <row r="175" spans="1:15" x14ac:dyDescent="0.25">
      <c r="A175" s="14">
        <v>86.5</v>
      </c>
      <c r="B175" s="14">
        <v>4</v>
      </c>
      <c r="C175" s="58">
        <f t="shared" si="16"/>
        <v>86.5</v>
      </c>
      <c r="D175" s="58">
        <f t="shared" si="17"/>
        <v>4</v>
      </c>
      <c r="E175" s="15">
        <f t="shared" ca="1" si="18"/>
        <v>0.78048780487804859</v>
      </c>
      <c r="F175" s="16" t="str">
        <f>IF(ISNUMBER(C175),IF(AND(RESULTS!$C$36&lt;=C175,C175&lt;=RESULTS!$D$36),E175,""),"")</f>
        <v/>
      </c>
      <c r="G175" s="16" t="str">
        <f t="shared" ca="1" si="19"/>
        <v/>
      </c>
      <c r="H175" s="16">
        <f ca="1">IF(ISNUMBER(C175),IF(AND(RESULTS!$C$37&lt;=C175,C175&lt;=RESULTS!$D$37),E175,""),"")</f>
        <v>0.78048780487804859</v>
      </c>
      <c r="I175" s="16" t="str">
        <f t="shared" ca="1" si="20"/>
        <v/>
      </c>
      <c r="J175" s="16" t="str">
        <f>IF(ISNUMBER(C175),IF(AND(RESULTS!$C$38&lt;=C175,C175&lt;=RESULTS!$D$38),E175,""),"")</f>
        <v/>
      </c>
      <c r="K175" s="16" t="str">
        <f t="shared" ca="1" si="21"/>
        <v/>
      </c>
      <c r="L175" s="16" t="str">
        <f>IF(ISNUMBER(C175),IF(AND(RESULTS!$C$39&lt;=C175,C175&lt;=RESULTS!$D$39),E175,""),"")</f>
        <v/>
      </c>
      <c r="M175" s="16" t="str">
        <f t="shared" ca="1" si="22"/>
        <v/>
      </c>
      <c r="N175" s="16" t="str">
        <f>IF(ISNUMBER(C175),IF(AND(RESULTS!$C$40&lt;=C175,C175&lt;=RESULTS!$D$40),E175,""),"")</f>
        <v/>
      </c>
      <c r="O175" s="16" t="str">
        <f t="shared" ca="1" si="23"/>
        <v/>
      </c>
    </row>
    <row r="176" spans="1:15" x14ac:dyDescent="0.25">
      <c r="A176" s="14">
        <v>87</v>
      </c>
      <c r="B176" s="14">
        <v>3</v>
      </c>
      <c r="C176" s="58">
        <f t="shared" si="16"/>
        <v>87</v>
      </c>
      <c r="D176" s="58">
        <f t="shared" si="17"/>
        <v>3</v>
      </c>
      <c r="E176" s="15">
        <f t="shared" ca="1" si="18"/>
        <v>0</v>
      </c>
      <c r="F176" s="16" t="str">
        <f>IF(ISNUMBER(C176),IF(AND(RESULTS!$C$36&lt;=C176,C176&lt;=RESULTS!$D$36),E176,""),"")</f>
        <v/>
      </c>
      <c r="G176" s="16" t="str">
        <f t="shared" ca="1" si="19"/>
        <v/>
      </c>
      <c r="H176" s="16">
        <f ca="1">IF(ISNUMBER(C176),IF(AND(RESULTS!$C$37&lt;=C176,C176&lt;=RESULTS!$D$37),E176,""),"")</f>
        <v>0</v>
      </c>
      <c r="I176" s="16" t="str">
        <f t="shared" ca="1" si="20"/>
        <v/>
      </c>
      <c r="J176" s="16" t="str">
        <f>IF(ISNUMBER(C176),IF(AND(RESULTS!$C$38&lt;=C176,C176&lt;=RESULTS!$D$38),E176,""),"")</f>
        <v/>
      </c>
      <c r="K176" s="16" t="str">
        <f t="shared" ca="1" si="21"/>
        <v/>
      </c>
      <c r="L176" s="16" t="str">
        <f>IF(ISNUMBER(C176),IF(AND(RESULTS!$C$39&lt;=C176,C176&lt;=RESULTS!$D$39),E176,""),"")</f>
        <v/>
      </c>
      <c r="M176" s="16" t="str">
        <f t="shared" ca="1" si="22"/>
        <v/>
      </c>
      <c r="N176" s="16" t="str">
        <f>IF(ISNUMBER(C176),IF(AND(RESULTS!$C$40&lt;=C176,C176&lt;=RESULTS!$D$40),E176,""),"")</f>
        <v/>
      </c>
      <c r="O176" s="16" t="str">
        <f t="shared" ca="1" si="23"/>
        <v/>
      </c>
    </row>
    <row r="177" spans="1:15" x14ac:dyDescent="0.25">
      <c r="A177" s="14">
        <v>87.5</v>
      </c>
      <c r="B177" s="14">
        <v>6</v>
      </c>
      <c r="C177" s="58">
        <f t="shared" si="16"/>
        <v>87.5</v>
      </c>
      <c r="D177" s="58">
        <f t="shared" si="17"/>
        <v>6</v>
      </c>
      <c r="E177" s="15">
        <f t="shared" ca="1" si="18"/>
        <v>2.7804878048780486</v>
      </c>
      <c r="F177" s="16" t="str">
        <f>IF(ISNUMBER(C177),IF(AND(RESULTS!$C$36&lt;=C177,C177&lt;=RESULTS!$D$36),E177,""),"")</f>
        <v/>
      </c>
      <c r="G177" s="16" t="str">
        <f t="shared" ca="1" si="19"/>
        <v/>
      </c>
      <c r="H177" s="16">
        <f ca="1">IF(ISNUMBER(C177),IF(AND(RESULTS!$C$37&lt;=C177,C177&lt;=RESULTS!$D$37),E177,""),"")</f>
        <v>2.7804878048780486</v>
      </c>
      <c r="I177" s="16" t="str">
        <f t="shared" ca="1" si="20"/>
        <v/>
      </c>
      <c r="J177" s="16" t="str">
        <f>IF(ISNUMBER(C177),IF(AND(RESULTS!$C$38&lt;=C177,C177&lt;=RESULTS!$D$38),E177,""),"")</f>
        <v/>
      </c>
      <c r="K177" s="16" t="str">
        <f t="shared" ca="1" si="21"/>
        <v/>
      </c>
      <c r="L177" s="16" t="str">
        <f>IF(ISNUMBER(C177),IF(AND(RESULTS!$C$39&lt;=C177,C177&lt;=RESULTS!$D$39),E177,""),"")</f>
        <v/>
      </c>
      <c r="M177" s="16" t="str">
        <f t="shared" ca="1" si="22"/>
        <v/>
      </c>
      <c r="N177" s="16" t="str">
        <f>IF(ISNUMBER(C177),IF(AND(RESULTS!$C$40&lt;=C177,C177&lt;=RESULTS!$D$40),E177,""),"")</f>
        <v/>
      </c>
      <c r="O177" s="16" t="str">
        <f t="shared" ca="1" si="23"/>
        <v/>
      </c>
    </row>
    <row r="178" spans="1:15" x14ac:dyDescent="0.25">
      <c r="A178" s="14">
        <v>88</v>
      </c>
      <c r="B178" s="14">
        <v>2</v>
      </c>
      <c r="C178" s="58">
        <f t="shared" si="16"/>
        <v>88</v>
      </c>
      <c r="D178" s="58">
        <f t="shared" si="17"/>
        <v>2</v>
      </c>
      <c r="E178" s="15">
        <f t="shared" ca="1" si="18"/>
        <v>0</v>
      </c>
      <c r="F178" s="16" t="str">
        <f>IF(ISNUMBER(C178),IF(AND(RESULTS!$C$36&lt;=C178,C178&lt;=RESULTS!$D$36),E178,""),"")</f>
        <v/>
      </c>
      <c r="G178" s="16" t="str">
        <f t="shared" ca="1" si="19"/>
        <v/>
      </c>
      <c r="H178" s="16">
        <f ca="1">IF(ISNUMBER(C178),IF(AND(RESULTS!$C$37&lt;=C178,C178&lt;=RESULTS!$D$37),E178,""),"")</f>
        <v>0</v>
      </c>
      <c r="I178" s="16" t="str">
        <f t="shared" ca="1" si="20"/>
        <v/>
      </c>
      <c r="J178" s="16" t="str">
        <f>IF(ISNUMBER(C178),IF(AND(RESULTS!$C$38&lt;=C178,C178&lt;=RESULTS!$D$38),E178,""),"")</f>
        <v/>
      </c>
      <c r="K178" s="16" t="str">
        <f t="shared" ca="1" si="21"/>
        <v/>
      </c>
      <c r="L178" s="16" t="str">
        <f>IF(ISNUMBER(C178),IF(AND(RESULTS!$C$39&lt;=C178,C178&lt;=RESULTS!$D$39),E178,""),"")</f>
        <v/>
      </c>
      <c r="M178" s="16" t="str">
        <f t="shared" ca="1" si="22"/>
        <v/>
      </c>
      <c r="N178" s="16" t="str">
        <f>IF(ISNUMBER(C178),IF(AND(RESULTS!$C$40&lt;=C178,C178&lt;=RESULTS!$D$40),E178,""),"")</f>
        <v/>
      </c>
      <c r="O178" s="16" t="str">
        <f t="shared" ca="1" si="23"/>
        <v/>
      </c>
    </row>
    <row r="179" spans="1:15" x14ac:dyDescent="0.25">
      <c r="A179" s="14">
        <v>88.5</v>
      </c>
      <c r="B179" s="14">
        <v>9</v>
      </c>
      <c r="C179" s="58">
        <f t="shared" si="16"/>
        <v>88.5</v>
      </c>
      <c r="D179" s="58">
        <f t="shared" si="17"/>
        <v>9</v>
      </c>
      <c r="E179" s="15">
        <f t="shared" ca="1" si="18"/>
        <v>5.7804878048780486</v>
      </c>
      <c r="F179" s="16" t="str">
        <f>IF(ISNUMBER(C179),IF(AND(RESULTS!$C$36&lt;=C179,C179&lt;=RESULTS!$D$36),E179,""),"")</f>
        <v/>
      </c>
      <c r="G179" s="16" t="str">
        <f t="shared" ca="1" si="19"/>
        <v/>
      </c>
      <c r="H179" s="16">
        <f ca="1">IF(ISNUMBER(C179),IF(AND(RESULTS!$C$37&lt;=C179,C179&lt;=RESULTS!$D$37),E179,""),"")</f>
        <v>5.7804878048780486</v>
      </c>
      <c r="I179" s="16">
        <f t="shared" ca="1" si="20"/>
        <v>88.5</v>
      </c>
      <c r="J179" s="16" t="str">
        <f>IF(ISNUMBER(C179),IF(AND(RESULTS!$C$38&lt;=C179,C179&lt;=RESULTS!$D$38),E179,""),"")</f>
        <v/>
      </c>
      <c r="K179" s="16" t="str">
        <f t="shared" ca="1" si="21"/>
        <v/>
      </c>
      <c r="L179" s="16" t="str">
        <f>IF(ISNUMBER(C179),IF(AND(RESULTS!$C$39&lt;=C179,C179&lt;=RESULTS!$D$39),E179,""),"")</f>
        <v/>
      </c>
      <c r="M179" s="16" t="str">
        <f t="shared" ca="1" si="22"/>
        <v/>
      </c>
      <c r="N179" s="16" t="str">
        <f>IF(ISNUMBER(C179),IF(AND(RESULTS!$C$40&lt;=C179,C179&lt;=RESULTS!$D$40),E179,""),"")</f>
        <v/>
      </c>
      <c r="O179" s="16" t="str">
        <f t="shared" ca="1" si="23"/>
        <v/>
      </c>
    </row>
    <row r="180" spans="1:15" x14ac:dyDescent="0.25">
      <c r="A180" s="14">
        <v>89</v>
      </c>
      <c r="B180" s="14">
        <v>5</v>
      </c>
      <c r="C180" s="58">
        <f t="shared" si="16"/>
        <v>89</v>
      </c>
      <c r="D180" s="58">
        <f t="shared" si="17"/>
        <v>5</v>
      </c>
      <c r="E180" s="15">
        <f t="shared" ca="1" si="18"/>
        <v>1.7804878048780486</v>
      </c>
      <c r="F180" s="16" t="str">
        <f>IF(ISNUMBER(C180),IF(AND(RESULTS!$C$36&lt;=C180,C180&lt;=RESULTS!$D$36),E180,""),"")</f>
        <v/>
      </c>
      <c r="G180" s="16" t="str">
        <f t="shared" ca="1" si="19"/>
        <v/>
      </c>
      <c r="H180" s="16">
        <f ca="1">IF(ISNUMBER(C180),IF(AND(RESULTS!$C$37&lt;=C180,C180&lt;=RESULTS!$D$37),E180,""),"")</f>
        <v>1.7804878048780486</v>
      </c>
      <c r="I180" s="16" t="str">
        <f t="shared" ca="1" si="20"/>
        <v/>
      </c>
      <c r="J180" s="16" t="str">
        <f>IF(ISNUMBER(C180),IF(AND(RESULTS!$C$38&lt;=C180,C180&lt;=RESULTS!$D$38),E180,""),"")</f>
        <v/>
      </c>
      <c r="K180" s="16" t="str">
        <f t="shared" ca="1" si="21"/>
        <v/>
      </c>
      <c r="L180" s="16" t="str">
        <f>IF(ISNUMBER(C180),IF(AND(RESULTS!$C$39&lt;=C180,C180&lt;=RESULTS!$D$39),E180,""),"")</f>
        <v/>
      </c>
      <c r="M180" s="16" t="str">
        <f t="shared" ca="1" si="22"/>
        <v/>
      </c>
      <c r="N180" s="16" t="str">
        <f>IF(ISNUMBER(C180),IF(AND(RESULTS!$C$40&lt;=C180,C180&lt;=RESULTS!$D$40),E180,""),"")</f>
        <v/>
      </c>
      <c r="O180" s="16" t="str">
        <f t="shared" ca="1" si="23"/>
        <v/>
      </c>
    </row>
    <row r="181" spans="1:15" x14ac:dyDescent="0.25">
      <c r="A181" s="14">
        <v>89.5</v>
      </c>
      <c r="B181" s="14">
        <v>4</v>
      </c>
      <c r="C181" s="58">
        <f t="shared" si="16"/>
        <v>89.5</v>
      </c>
      <c r="D181" s="58">
        <f t="shared" si="17"/>
        <v>4</v>
      </c>
      <c r="E181" s="15">
        <f t="shared" ca="1" si="18"/>
        <v>0.78048780487804859</v>
      </c>
      <c r="F181" s="16" t="str">
        <f>IF(ISNUMBER(C181),IF(AND(RESULTS!$C$36&lt;=C181,C181&lt;=RESULTS!$D$36),E181,""),"")</f>
        <v/>
      </c>
      <c r="G181" s="16" t="str">
        <f t="shared" ca="1" si="19"/>
        <v/>
      </c>
      <c r="H181" s="16">
        <f ca="1">IF(ISNUMBER(C181),IF(AND(RESULTS!$C$37&lt;=C181,C181&lt;=RESULTS!$D$37),E181,""),"")</f>
        <v>0.78048780487804859</v>
      </c>
      <c r="I181" s="16" t="str">
        <f t="shared" ca="1" si="20"/>
        <v/>
      </c>
      <c r="J181" s="16" t="str">
        <f>IF(ISNUMBER(C181),IF(AND(RESULTS!$C$38&lt;=C181,C181&lt;=RESULTS!$D$38),E181,""),"")</f>
        <v/>
      </c>
      <c r="K181" s="16" t="str">
        <f t="shared" ca="1" si="21"/>
        <v/>
      </c>
      <c r="L181" s="16" t="str">
        <f>IF(ISNUMBER(C181),IF(AND(RESULTS!$C$39&lt;=C181,C181&lt;=RESULTS!$D$39),E181,""),"")</f>
        <v/>
      </c>
      <c r="M181" s="16" t="str">
        <f t="shared" ca="1" si="22"/>
        <v/>
      </c>
      <c r="N181" s="16" t="str">
        <f>IF(ISNUMBER(C181),IF(AND(RESULTS!$C$40&lt;=C181,C181&lt;=RESULTS!$D$40),E181,""),"")</f>
        <v/>
      </c>
      <c r="O181" s="16" t="str">
        <f t="shared" ca="1" si="23"/>
        <v/>
      </c>
    </row>
    <row r="182" spans="1:15" x14ac:dyDescent="0.25">
      <c r="A182" s="14">
        <v>90</v>
      </c>
      <c r="B182" s="14">
        <v>0</v>
      </c>
      <c r="C182" s="58">
        <f t="shared" si="16"/>
        <v>90</v>
      </c>
      <c r="D182" s="58">
        <f t="shared" si="17"/>
        <v>0</v>
      </c>
      <c r="E182" s="15">
        <f t="shared" ca="1" si="18"/>
        <v>0</v>
      </c>
      <c r="F182" s="16" t="str">
        <f>IF(ISNUMBER(C182),IF(AND(RESULTS!$C$36&lt;=C182,C182&lt;=RESULTS!$D$36),E182,""),"")</f>
        <v/>
      </c>
      <c r="G182" s="16" t="str">
        <f t="shared" ca="1" si="19"/>
        <v/>
      </c>
      <c r="H182" s="16">
        <f ca="1">IF(ISNUMBER(C182),IF(AND(RESULTS!$C$37&lt;=C182,C182&lt;=RESULTS!$D$37),E182,""),"")</f>
        <v>0</v>
      </c>
      <c r="I182" s="16" t="str">
        <f t="shared" ca="1" si="20"/>
        <v/>
      </c>
      <c r="J182" s="16" t="str">
        <f>IF(ISNUMBER(C182),IF(AND(RESULTS!$C$38&lt;=C182,C182&lt;=RESULTS!$D$38),E182,""),"")</f>
        <v/>
      </c>
      <c r="K182" s="16" t="str">
        <f t="shared" ca="1" si="21"/>
        <v/>
      </c>
      <c r="L182" s="16" t="str">
        <f>IF(ISNUMBER(C182),IF(AND(RESULTS!$C$39&lt;=C182,C182&lt;=RESULTS!$D$39),E182,""),"")</f>
        <v/>
      </c>
      <c r="M182" s="16" t="str">
        <f t="shared" ca="1" si="22"/>
        <v/>
      </c>
      <c r="N182" s="16" t="str">
        <f>IF(ISNUMBER(C182),IF(AND(RESULTS!$C$40&lt;=C182,C182&lt;=RESULTS!$D$40),E182,""),"")</f>
        <v/>
      </c>
      <c r="O182" s="16" t="str">
        <f t="shared" ca="1" si="23"/>
        <v/>
      </c>
    </row>
    <row r="183" spans="1:15" x14ac:dyDescent="0.25">
      <c r="A183" s="14">
        <v>90.5</v>
      </c>
      <c r="B183" s="14">
        <v>7</v>
      </c>
      <c r="C183" s="58">
        <f t="shared" si="16"/>
        <v>90.5</v>
      </c>
      <c r="D183" s="58">
        <f t="shared" si="17"/>
        <v>7</v>
      </c>
      <c r="E183" s="15">
        <f t="shared" ca="1" si="18"/>
        <v>3.7804878048780486</v>
      </c>
      <c r="F183" s="16" t="str">
        <f>IF(ISNUMBER(C183),IF(AND(RESULTS!$C$36&lt;=C183,C183&lt;=RESULTS!$D$36),E183,""),"")</f>
        <v/>
      </c>
      <c r="G183" s="16" t="str">
        <f t="shared" ca="1" si="19"/>
        <v/>
      </c>
      <c r="H183" s="16">
        <f ca="1">IF(ISNUMBER(C183),IF(AND(RESULTS!$C$37&lt;=C183,C183&lt;=RESULTS!$D$37),E183,""),"")</f>
        <v>3.7804878048780486</v>
      </c>
      <c r="I183" s="16">
        <f t="shared" ca="1" si="20"/>
        <v>90.5</v>
      </c>
      <c r="J183" s="16" t="str">
        <f>IF(ISNUMBER(C183),IF(AND(RESULTS!$C$38&lt;=C183,C183&lt;=RESULTS!$D$38),E183,""),"")</f>
        <v/>
      </c>
      <c r="K183" s="16" t="str">
        <f t="shared" ca="1" si="21"/>
        <v/>
      </c>
      <c r="L183" s="16" t="str">
        <f>IF(ISNUMBER(C183),IF(AND(RESULTS!$C$39&lt;=C183,C183&lt;=RESULTS!$D$39),E183,""),"")</f>
        <v/>
      </c>
      <c r="M183" s="16" t="str">
        <f t="shared" ca="1" si="22"/>
        <v/>
      </c>
      <c r="N183" s="16" t="str">
        <f>IF(ISNUMBER(C183),IF(AND(RESULTS!$C$40&lt;=C183,C183&lt;=RESULTS!$D$40),E183,""),"")</f>
        <v/>
      </c>
      <c r="O183" s="16" t="str">
        <f t="shared" ca="1" si="23"/>
        <v/>
      </c>
    </row>
    <row r="184" spans="1:15" x14ac:dyDescent="0.25">
      <c r="A184" s="14">
        <v>91</v>
      </c>
      <c r="B184" s="14">
        <v>3</v>
      </c>
      <c r="C184" s="58">
        <f t="shared" si="16"/>
        <v>91</v>
      </c>
      <c r="D184" s="58">
        <f t="shared" si="17"/>
        <v>3</v>
      </c>
      <c r="E184" s="15">
        <f t="shared" ca="1" si="18"/>
        <v>0</v>
      </c>
      <c r="F184" s="16" t="str">
        <f>IF(ISNUMBER(C184),IF(AND(RESULTS!$C$36&lt;=C184,C184&lt;=RESULTS!$D$36),E184,""),"")</f>
        <v/>
      </c>
      <c r="G184" s="16" t="str">
        <f t="shared" ca="1" si="19"/>
        <v/>
      </c>
      <c r="H184" s="16">
        <f ca="1">IF(ISNUMBER(C184),IF(AND(RESULTS!$C$37&lt;=C184,C184&lt;=RESULTS!$D$37),E184,""),"")</f>
        <v>0</v>
      </c>
      <c r="I184" s="16" t="str">
        <f t="shared" ca="1" si="20"/>
        <v/>
      </c>
      <c r="J184" s="16" t="str">
        <f>IF(ISNUMBER(C184),IF(AND(RESULTS!$C$38&lt;=C184,C184&lt;=RESULTS!$D$38),E184,""),"")</f>
        <v/>
      </c>
      <c r="K184" s="16" t="str">
        <f t="shared" ca="1" si="21"/>
        <v/>
      </c>
      <c r="L184" s="16" t="str">
        <f>IF(ISNUMBER(C184),IF(AND(RESULTS!$C$39&lt;=C184,C184&lt;=RESULTS!$D$39),E184,""),"")</f>
        <v/>
      </c>
      <c r="M184" s="16" t="str">
        <f t="shared" ca="1" si="22"/>
        <v/>
      </c>
      <c r="N184" s="16" t="str">
        <f>IF(ISNUMBER(C184),IF(AND(RESULTS!$C$40&lt;=C184,C184&lt;=RESULTS!$D$40),E184,""),"")</f>
        <v/>
      </c>
      <c r="O184" s="16" t="str">
        <f t="shared" ca="1" si="23"/>
        <v/>
      </c>
    </row>
    <row r="185" spans="1:15" x14ac:dyDescent="0.25">
      <c r="A185" s="14">
        <v>91.5</v>
      </c>
      <c r="B185" s="14">
        <v>5</v>
      </c>
      <c r="C185" s="58">
        <f t="shared" si="16"/>
        <v>91.5</v>
      </c>
      <c r="D185" s="58">
        <f t="shared" si="17"/>
        <v>5</v>
      </c>
      <c r="E185" s="15">
        <f t="shared" ca="1" si="18"/>
        <v>1.7804878048780486</v>
      </c>
      <c r="F185" s="16" t="str">
        <f>IF(ISNUMBER(C185),IF(AND(RESULTS!$C$36&lt;=C185,C185&lt;=RESULTS!$D$36),E185,""),"")</f>
        <v/>
      </c>
      <c r="G185" s="16" t="str">
        <f t="shared" ca="1" si="19"/>
        <v/>
      </c>
      <c r="H185" s="16">
        <f ca="1">IF(ISNUMBER(C185),IF(AND(RESULTS!$C$37&lt;=C185,C185&lt;=RESULTS!$D$37),E185,""),"")</f>
        <v>1.7804878048780486</v>
      </c>
      <c r="I185" s="16" t="str">
        <f t="shared" ca="1" si="20"/>
        <v/>
      </c>
      <c r="J185" s="16" t="str">
        <f>IF(ISNUMBER(C185),IF(AND(RESULTS!$C$38&lt;=C185,C185&lt;=RESULTS!$D$38),E185,""),"")</f>
        <v/>
      </c>
      <c r="K185" s="16" t="str">
        <f t="shared" ca="1" si="21"/>
        <v/>
      </c>
      <c r="L185" s="16" t="str">
        <f>IF(ISNUMBER(C185),IF(AND(RESULTS!$C$39&lt;=C185,C185&lt;=RESULTS!$D$39),E185,""),"")</f>
        <v/>
      </c>
      <c r="M185" s="16" t="str">
        <f t="shared" ca="1" si="22"/>
        <v/>
      </c>
      <c r="N185" s="16" t="str">
        <f>IF(ISNUMBER(C185),IF(AND(RESULTS!$C$40&lt;=C185,C185&lt;=RESULTS!$D$40),E185,""),"")</f>
        <v/>
      </c>
      <c r="O185" s="16" t="str">
        <f t="shared" ca="1" si="23"/>
        <v/>
      </c>
    </row>
    <row r="186" spans="1:15" x14ac:dyDescent="0.25">
      <c r="A186" s="14">
        <v>92</v>
      </c>
      <c r="B186" s="14">
        <v>6</v>
      </c>
      <c r="C186" s="58">
        <f t="shared" si="16"/>
        <v>92</v>
      </c>
      <c r="D186" s="58">
        <f t="shared" si="17"/>
        <v>6</v>
      </c>
      <c r="E186" s="15">
        <f t="shared" ca="1" si="18"/>
        <v>2.7804878048780486</v>
      </c>
      <c r="F186" s="16" t="str">
        <f>IF(ISNUMBER(C186),IF(AND(RESULTS!$C$36&lt;=C186,C186&lt;=RESULTS!$D$36),E186,""),"")</f>
        <v/>
      </c>
      <c r="G186" s="16" t="str">
        <f t="shared" ca="1" si="19"/>
        <v/>
      </c>
      <c r="H186" s="16">
        <f ca="1">IF(ISNUMBER(C186),IF(AND(RESULTS!$C$37&lt;=C186,C186&lt;=RESULTS!$D$37),E186,""),"")</f>
        <v>2.7804878048780486</v>
      </c>
      <c r="I186" s="16" t="str">
        <f t="shared" ca="1" si="20"/>
        <v/>
      </c>
      <c r="J186" s="16" t="str">
        <f>IF(ISNUMBER(C186),IF(AND(RESULTS!$C$38&lt;=C186,C186&lt;=RESULTS!$D$38),E186,""),"")</f>
        <v/>
      </c>
      <c r="K186" s="16" t="str">
        <f t="shared" ca="1" si="21"/>
        <v/>
      </c>
      <c r="L186" s="16" t="str">
        <f>IF(ISNUMBER(C186),IF(AND(RESULTS!$C$39&lt;=C186,C186&lt;=RESULTS!$D$39),E186,""),"")</f>
        <v/>
      </c>
      <c r="M186" s="16" t="str">
        <f t="shared" ca="1" si="22"/>
        <v/>
      </c>
      <c r="N186" s="16" t="str">
        <f>IF(ISNUMBER(C186),IF(AND(RESULTS!$C$40&lt;=C186,C186&lt;=RESULTS!$D$40),E186,""),"")</f>
        <v/>
      </c>
      <c r="O186" s="16" t="str">
        <f t="shared" ca="1" si="23"/>
        <v/>
      </c>
    </row>
    <row r="187" spans="1:15" x14ac:dyDescent="0.25">
      <c r="A187" s="14">
        <v>92.5</v>
      </c>
      <c r="B187" s="14">
        <v>3</v>
      </c>
      <c r="C187" s="58">
        <f t="shared" si="16"/>
        <v>92.5</v>
      </c>
      <c r="D187" s="58">
        <f t="shared" si="17"/>
        <v>3</v>
      </c>
      <c r="E187" s="15">
        <f t="shared" ca="1" si="18"/>
        <v>0</v>
      </c>
      <c r="F187" s="16" t="str">
        <f>IF(ISNUMBER(C187),IF(AND(RESULTS!$C$36&lt;=C187,C187&lt;=RESULTS!$D$36),E187,""),"")</f>
        <v/>
      </c>
      <c r="G187" s="16" t="str">
        <f t="shared" ca="1" si="19"/>
        <v/>
      </c>
      <c r="H187" s="16">
        <f ca="1">IF(ISNUMBER(C187),IF(AND(RESULTS!$C$37&lt;=C187,C187&lt;=RESULTS!$D$37),E187,""),"")</f>
        <v>0</v>
      </c>
      <c r="I187" s="16" t="str">
        <f t="shared" ca="1" si="20"/>
        <v/>
      </c>
      <c r="J187" s="16" t="str">
        <f>IF(ISNUMBER(C187),IF(AND(RESULTS!$C$38&lt;=C187,C187&lt;=RESULTS!$D$38),E187,""),"")</f>
        <v/>
      </c>
      <c r="K187" s="16" t="str">
        <f t="shared" ca="1" si="21"/>
        <v/>
      </c>
      <c r="L187" s="16" t="str">
        <f>IF(ISNUMBER(C187),IF(AND(RESULTS!$C$39&lt;=C187,C187&lt;=RESULTS!$D$39),E187,""),"")</f>
        <v/>
      </c>
      <c r="M187" s="16" t="str">
        <f t="shared" ca="1" si="22"/>
        <v/>
      </c>
      <c r="N187" s="16" t="str">
        <f>IF(ISNUMBER(C187),IF(AND(RESULTS!$C$40&lt;=C187,C187&lt;=RESULTS!$D$40),E187,""),"")</f>
        <v/>
      </c>
      <c r="O187" s="16" t="str">
        <f t="shared" ca="1" si="23"/>
        <v/>
      </c>
    </row>
    <row r="188" spans="1:15" x14ac:dyDescent="0.25">
      <c r="A188" s="14">
        <v>93</v>
      </c>
      <c r="B188" s="14">
        <v>2</v>
      </c>
      <c r="C188" s="58">
        <f t="shared" si="16"/>
        <v>93</v>
      </c>
      <c r="D188" s="58">
        <f t="shared" si="17"/>
        <v>2</v>
      </c>
      <c r="E188" s="15">
        <f t="shared" ca="1" si="18"/>
        <v>0</v>
      </c>
      <c r="F188" s="16" t="str">
        <f>IF(ISNUMBER(C188),IF(AND(RESULTS!$C$36&lt;=C188,C188&lt;=RESULTS!$D$36),E188,""),"")</f>
        <v/>
      </c>
      <c r="G188" s="16" t="str">
        <f t="shared" ca="1" si="19"/>
        <v/>
      </c>
      <c r="H188" s="16">
        <f ca="1">IF(ISNUMBER(C188),IF(AND(RESULTS!$C$37&lt;=C188,C188&lt;=RESULTS!$D$37),E188,""),"")</f>
        <v>0</v>
      </c>
      <c r="I188" s="16" t="str">
        <f t="shared" ca="1" si="20"/>
        <v/>
      </c>
      <c r="J188" s="16" t="str">
        <f>IF(ISNUMBER(C188),IF(AND(RESULTS!$C$38&lt;=C188,C188&lt;=RESULTS!$D$38),E188,""),"")</f>
        <v/>
      </c>
      <c r="K188" s="16" t="str">
        <f t="shared" ca="1" si="21"/>
        <v/>
      </c>
      <c r="L188" s="16" t="str">
        <f>IF(ISNUMBER(C188),IF(AND(RESULTS!$C$39&lt;=C188,C188&lt;=RESULTS!$D$39),E188,""),"")</f>
        <v/>
      </c>
      <c r="M188" s="16" t="str">
        <f t="shared" ca="1" si="22"/>
        <v/>
      </c>
      <c r="N188" s="16" t="str">
        <f>IF(ISNUMBER(C188),IF(AND(RESULTS!$C$40&lt;=C188,C188&lt;=RESULTS!$D$40),E188,""),"")</f>
        <v/>
      </c>
      <c r="O188" s="16" t="str">
        <f t="shared" ca="1" si="23"/>
        <v/>
      </c>
    </row>
    <row r="189" spans="1:15" x14ac:dyDescent="0.25">
      <c r="A189" s="14">
        <v>93.5</v>
      </c>
      <c r="B189" s="14">
        <v>3</v>
      </c>
      <c r="C189" s="58">
        <f t="shared" si="16"/>
        <v>93.5</v>
      </c>
      <c r="D189" s="58">
        <f t="shared" si="17"/>
        <v>3</v>
      </c>
      <c r="E189" s="15">
        <f t="shared" ca="1" si="18"/>
        <v>0</v>
      </c>
      <c r="F189" s="16" t="str">
        <f>IF(ISNUMBER(C189),IF(AND(RESULTS!$C$36&lt;=C189,C189&lt;=RESULTS!$D$36),E189,""),"")</f>
        <v/>
      </c>
      <c r="G189" s="16" t="str">
        <f t="shared" ca="1" si="19"/>
        <v/>
      </c>
      <c r="H189" s="16">
        <f ca="1">IF(ISNUMBER(C189),IF(AND(RESULTS!$C$37&lt;=C189,C189&lt;=RESULTS!$D$37),E189,""),"")</f>
        <v>0</v>
      </c>
      <c r="I189" s="16" t="str">
        <f t="shared" ca="1" si="20"/>
        <v/>
      </c>
      <c r="J189" s="16" t="str">
        <f>IF(ISNUMBER(C189),IF(AND(RESULTS!$C$38&lt;=C189,C189&lt;=RESULTS!$D$38),E189,""),"")</f>
        <v/>
      </c>
      <c r="K189" s="16" t="str">
        <f t="shared" ca="1" si="21"/>
        <v/>
      </c>
      <c r="L189" s="16" t="str">
        <f>IF(ISNUMBER(C189),IF(AND(RESULTS!$C$39&lt;=C189,C189&lt;=RESULTS!$D$39),E189,""),"")</f>
        <v/>
      </c>
      <c r="M189" s="16" t="str">
        <f t="shared" ca="1" si="22"/>
        <v/>
      </c>
      <c r="N189" s="16" t="str">
        <f>IF(ISNUMBER(C189),IF(AND(RESULTS!$C$40&lt;=C189,C189&lt;=RESULTS!$D$40),E189,""),"")</f>
        <v/>
      </c>
      <c r="O189" s="16" t="str">
        <f t="shared" ca="1" si="23"/>
        <v/>
      </c>
    </row>
    <row r="190" spans="1:15" x14ac:dyDescent="0.25">
      <c r="A190" s="14">
        <v>94</v>
      </c>
      <c r="B190" s="14">
        <v>8</v>
      </c>
      <c r="C190" s="58">
        <f t="shared" si="16"/>
        <v>94</v>
      </c>
      <c r="D190" s="58">
        <f t="shared" si="17"/>
        <v>8</v>
      </c>
      <c r="E190" s="15">
        <f t="shared" ca="1" si="18"/>
        <v>4.7804878048780486</v>
      </c>
      <c r="F190" s="16" t="str">
        <f>IF(ISNUMBER(C190),IF(AND(RESULTS!$C$36&lt;=C190,C190&lt;=RESULTS!$D$36),E190,""),"")</f>
        <v/>
      </c>
      <c r="G190" s="16" t="str">
        <f t="shared" ca="1" si="19"/>
        <v/>
      </c>
      <c r="H190" s="16">
        <f ca="1">IF(ISNUMBER(C190),IF(AND(RESULTS!$C$37&lt;=C190,C190&lt;=RESULTS!$D$37),E190,""),"")</f>
        <v>4.7804878048780486</v>
      </c>
      <c r="I190" s="16">
        <f t="shared" ca="1" si="20"/>
        <v>94</v>
      </c>
      <c r="J190" s="16" t="str">
        <f>IF(ISNUMBER(C190),IF(AND(RESULTS!$C$38&lt;=C190,C190&lt;=RESULTS!$D$38),E190,""),"")</f>
        <v/>
      </c>
      <c r="K190" s="16" t="str">
        <f t="shared" ca="1" si="21"/>
        <v/>
      </c>
      <c r="L190" s="16" t="str">
        <f>IF(ISNUMBER(C190),IF(AND(RESULTS!$C$39&lt;=C190,C190&lt;=RESULTS!$D$39),E190,""),"")</f>
        <v/>
      </c>
      <c r="M190" s="16" t="str">
        <f t="shared" ca="1" si="22"/>
        <v/>
      </c>
      <c r="N190" s="16" t="str">
        <f>IF(ISNUMBER(C190),IF(AND(RESULTS!$C$40&lt;=C190,C190&lt;=RESULTS!$D$40),E190,""),"")</f>
        <v/>
      </c>
      <c r="O190" s="16" t="str">
        <f t="shared" ca="1" si="23"/>
        <v/>
      </c>
    </row>
    <row r="191" spans="1:15" x14ac:dyDescent="0.25">
      <c r="A191" s="14">
        <v>94.5</v>
      </c>
      <c r="B191" s="14">
        <v>7</v>
      </c>
      <c r="C191" s="58">
        <f t="shared" si="16"/>
        <v>94.5</v>
      </c>
      <c r="D191" s="58">
        <f t="shared" si="17"/>
        <v>7</v>
      </c>
      <c r="E191" s="15">
        <f t="shared" ca="1" si="18"/>
        <v>3.7804878048780486</v>
      </c>
      <c r="F191" s="16" t="str">
        <f>IF(ISNUMBER(C191),IF(AND(RESULTS!$C$36&lt;=C191,C191&lt;=RESULTS!$D$36),E191,""),"")</f>
        <v/>
      </c>
      <c r="G191" s="16" t="str">
        <f t="shared" ca="1" si="19"/>
        <v/>
      </c>
      <c r="H191" s="16">
        <f ca="1">IF(ISNUMBER(C191),IF(AND(RESULTS!$C$37&lt;=C191,C191&lt;=RESULTS!$D$37),E191,""),"")</f>
        <v>3.7804878048780486</v>
      </c>
      <c r="I191" s="16">
        <f t="shared" ca="1" si="20"/>
        <v>94.5</v>
      </c>
      <c r="J191" s="16" t="str">
        <f>IF(ISNUMBER(C191),IF(AND(RESULTS!$C$38&lt;=C191,C191&lt;=RESULTS!$D$38),E191,""),"")</f>
        <v/>
      </c>
      <c r="K191" s="16" t="str">
        <f t="shared" ca="1" si="21"/>
        <v/>
      </c>
      <c r="L191" s="16" t="str">
        <f>IF(ISNUMBER(C191),IF(AND(RESULTS!$C$39&lt;=C191,C191&lt;=RESULTS!$D$39),E191,""),"")</f>
        <v/>
      </c>
      <c r="M191" s="16" t="str">
        <f t="shared" ca="1" si="22"/>
        <v/>
      </c>
      <c r="N191" s="16" t="str">
        <f>IF(ISNUMBER(C191),IF(AND(RESULTS!$C$40&lt;=C191,C191&lt;=RESULTS!$D$40),E191,""),"")</f>
        <v/>
      </c>
      <c r="O191" s="16" t="str">
        <f t="shared" ca="1" si="23"/>
        <v/>
      </c>
    </row>
    <row r="192" spans="1:15" x14ac:dyDescent="0.25">
      <c r="A192" s="14">
        <v>95</v>
      </c>
      <c r="B192" s="14">
        <v>6</v>
      </c>
      <c r="C192" s="58">
        <f t="shared" si="16"/>
        <v>95</v>
      </c>
      <c r="D192" s="58">
        <f t="shared" si="17"/>
        <v>6</v>
      </c>
      <c r="E192" s="15">
        <f t="shared" ca="1" si="18"/>
        <v>2.7804878048780486</v>
      </c>
      <c r="F192" s="16" t="str">
        <f>IF(ISNUMBER(C192),IF(AND(RESULTS!$C$36&lt;=C192,C192&lt;=RESULTS!$D$36),E192,""),"")</f>
        <v/>
      </c>
      <c r="G192" s="16" t="str">
        <f t="shared" ca="1" si="19"/>
        <v/>
      </c>
      <c r="H192" s="16">
        <f ca="1">IF(ISNUMBER(C192),IF(AND(RESULTS!$C$37&lt;=C192,C192&lt;=RESULTS!$D$37),E192,""),"")</f>
        <v>2.7804878048780486</v>
      </c>
      <c r="I192" s="16" t="str">
        <f t="shared" ca="1" si="20"/>
        <v/>
      </c>
      <c r="J192" s="16" t="str">
        <f>IF(ISNUMBER(C192),IF(AND(RESULTS!$C$38&lt;=C192,C192&lt;=RESULTS!$D$38),E192,""),"")</f>
        <v/>
      </c>
      <c r="K192" s="16" t="str">
        <f t="shared" ca="1" si="21"/>
        <v/>
      </c>
      <c r="L192" s="16" t="str">
        <f>IF(ISNUMBER(C192),IF(AND(RESULTS!$C$39&lt;=C192,C192&lt;=RESULTS!$D$39),E192,""),"")</f>
        <v/>
      </c>
      <c r="M192" s="16" t="str">
        <f t="shared" ca="1" si="22"/>
        <v/>
      </c>
      <c r="N192" s="16" t="str">
        <f>IF(ISNUMBER(C192),IF(AND(RESULTS!$C$40&lt;=C192,C192&lt;=RESULTS!$D$40),E192,""),"")</f>
        <v/>
      </c>
      <c r="O192" s="16" t="str">
        <f t="shared" ca="1" si="23"/>
        <v/>
      </c>
    </row>
    <row r="193" spans="1:15" x14ac:dyDescent="0.25">
      <c r="A193" s="14">
        <v>95.5</v>
      </c>
      <c r="B193" s="14">
        <v>3</v>
      </c>
      <c r="C193" s="58">
        <f t="shared" si="16"/>
        <v>95.5</v>
      </c>
      <c r="D193" s="58">
        <f t="shared" si="17"/>
        <v>3</v>
      </c>
      <c r="E193" s="15">
        <f t="shared" ca="1" si="18"/>
        <v>0</v>
      </c>
      <c r="F193" s="16" t="str">
        <f>IF(ISNUMBER(C193),IF(AND(RESULTS!$C$36&lt;=C193,C193&lt;=RESULTS!$D$36),E193,""),"")</f>
        <v/>
      </c>
      <c r="G193" s="16" t="str">
        <f t="shared" ca="1" si="19"/>
        <v/>
      </c>
      <c r="H193" s="16">
        <f ca="1">IF(ISNUMBER(C193),IF(AND(RESULTS!$C$37&lt;=C193,C193&lt;=RESULTS!$D$37),E193,""),"")</f>
        <v>0</v>
      </c>
      <c r="I193" s="16" t="str">
        <f t="shared" ca="1" si="20"/>
        <v/>
      </c>
      <c r="J193" s="16" t="str">
        <f>IF(ISNUMBER(C193),IF(AND(RESULTS!$C$38&lt;=C193,C193&lt;=RESULTS!$D$38),E193,""),"")</f>
        <v/>
      </c>
      <c r="K193" s="16" t="str">
        <f t="shared" ca="1" si="21"/>
        <v/>
      </c>
      <c r="L193" s="16" t="str">
        <f>IF(ISNUMBER(C193),IF(AND(RESULTS!$C$39&lt;=C193,C193&lt;=RESULTS!$D$39),E193,""),"")</f>
        <v/>
      </c>
      <c r="M193" s="16" t="str">
        <f t="shared" ca="1" si="22"/>
        <v/>
      </c>
      <c r="N193" s="16" t="str">
        <f>IF(ISNUMBER(C193),IF(AND(RESULTS!$C$40&lt;=C193,C193&lt;=RESULTS!$D$40),E193,""),"")</f>
        <v/>
      </c>
      <c r="O193" s="16" t="str">
        <f t="shared" ca="1" si="23"/>
        <v/>
      </c>
    </row>
    <row r="194" spans="1:15" x14ac:dyDescent="0.25">
      <c r="A194" s="14">
        <v>96</v>
      </c>
      <c r="B194" s="14">
        <v>2</v>
      </c>
      <c r="C194" s="58">
        <f t="shared" si="16"/>
        <v>96</v>
      </c>
      <c r="D194" s="58">
        <f t="shared" si="17"/>
        <v>2</v>
      </c>
      <c r="E194" s="15">
        <f t="shared" ca="1" si="18"/>
        <v>0</v>
      </c>
      <c r="F194" s="16" t="str">
        <f>IF(ISNUMBER(C194),IF(AND(RESULTS!$C$36&lt;=C194,C194&lt;=RESULTS!$D$36),E194,""),"")</f>
        <v/>
      </c>
      <c r="G194" s="16" t="str">
        <f t="shared" ca="1" si="19"/>
        <v/>
      </c>
      <c r="H194" s="16">
        <f ca="1">IF(ISNUMBER(C194),IF(AND(RESULTS!$C$37&lt;=C194,C194&lt;=RESULTS!$D$37),E194,""),"")</f>
        <v>0</v>
      </c>
      <c r="I194" s="16" t="str">
        <f t="shared" ca="1" si="20"/>
        <v/>
      </c>
      <c r="J194" s="16" t="str">
        <f>IF(ISNUMBER(C194),IF(AND(RESULTS!$C$38&lt;=C194,C194&lt;=RESULTS!$D$38),E194,""),"")</f>
        <v/>
      </c>
      <c r="K194" s="16" t="str">
        <f t="shared" ca="1" si="21"/>
        <v/>
      </c>
      <c r="L194" s="16" t="str">
        <f>IF(ISNUMBER(C194),IF(AND(RESULTS!$C$39&lt;=C194,C194&lt;=RESULTS!$D$39),E194,""),"")</f>
        <v/>
      </c>
      <c r="M194" s="16" t="str">
        <f t="shared" ca="1" si="22"/>
        <v/>
      </c>
      <c r="N194" s="16" t="str">
        <f>IF(ISNUMBER(C194),IF(AND(RESULTS!$C$40&lt;=C194,C194&lt;=RESULTS!$D$40),E194,""),"")</f>
        <v/>
      </c>
      <c r="O194" s="16" t="str">
        <f t="shared" ca="1" si="23"/>
        <v/>
      </c>
    </row>
    <row r="195" spans="1:15" x14ac:dyDescent="0.25">
      <c r="A195" s="14">
        <v>96.5</v>
      </c>
      <c r="B195" s="14">
        <v>3</v>
      </c>
      <c r="C195" s="58">
        <f t="shared" ref="C195:C247" si="24">IF(ISNUMBER(A195),A195,NA())</f>
        <v>96.5</v>
      </c>
      <c r="D195" s="58">
        <f t="shared" ref="D195:D246" si="25">IF(ISNUMBER(B195),B195,NA())</f>
        <v>3</v>
      </c>
      <c r="E195" s="15">
        <f t="shared" ref="E195:E246" ca="1" si="26">IF(ISNUMBER(C195),IF($R$2&gt;D195,0,D195-$R$2),"")</f>
        <v>0</v>
      </c>
      <c r="F195" s="16" t="str">
        <f>IF(ISNUMBER(C195),IF(AND(RESULTS!$C$36&lt;=C195,C195&lt;=RESULTS!$D$36),E195,""),"")</f>
        <v/>
      </c>
      <c r="G195" s="16" t="str">
        <f t="shared" ref="G195:G246" ca="1" si="27">IF(AND(F195&lt;&gt;"",F195&gt;=MAX(F:F)/2),C195,"")</f>
        <v/>
      </c>
      <c r="H195" s="16">
        <f ca="1">IF(ISNUMBER(C195),IF(AND(RESULTS!$C$37&lt;=C195,C195&lt;=RESULTS!$D$37),E195,""),"")</f>
        <v>0</v>
      </c>
      <c r="I195" s="16" t="str">
        <f t="shared" ref="I195:I246" ca="1" si="28">IF(AND(H195&lt;&gt;"",H195&gt;=MAX(H:H)/2),C195,"")</f>
        <v/>
      </c>
      <c r="J195" s="16" t="str">
        <f>IF(ISNUMBER(C195),IF(AND(RESULTS!$C$38&lt;=C195,C195&lt;=RESULTS!$D$38),E195,""),"")</f>
        <v/>
      </c>
      <c r="K195" s="16" t="str">
        <f t="shared" ref="K195:K246" ca="1" si="29">IF(AND(J195&lt;&gt;"",J195&gt;=MAX(J:J)/2),C195,"")</f>
        <v/>
      </c>
      <c r="L195" s="16" t="str">
        <f>IF(ISNUMBER(C195),IF(AND(RESULTS!$C$39&lt;=C195,C195&lt;=RESULTS!$D$39),E195,""),"")</f>
        <v/>
      </c>
      <c r="M195" s="16" t="str">
        <f t="shared" ref="M195:M246" ca="1" si="30">IF(AND(L195&lt;&gt;"",L195&gt;=MAX(L:L)/2),C195,"")</f>
        <v/>
      </c>
      <c r="N195" s="16" t="str">
        <f>IF(ISNUMBER(C195),IF(AND(RESULTS!$C$40&lt;=C195,C195&lt;=RESULTS!$D$40),E195,""),"")</f>
        <v/>
      </c>
      <c r="O195" s="16" t="str">
        <f t="shared" ref="O195:O246" ca="1" si="31">IF(AND(N195&lt;&gt;"",N195&gt;=MAX(N:N)/2),C195,"")</f>
        <v/>
      </c>
    </row>
    <row r="196" spans="1:15" x14ac:dyDescent="0.25">
      <c r="A196" s="14">
        <v>97</v>
      </c>
      <c r="B196" s="14">
        <v>6</v>
      </c>
      <c r="C196" s="58">
        <f t="shared" si="24"/>
        <v>97</v>
      </c>
      <c r="D196" s="58">
        <f t="shared" si="25"/>
        <v>6</v>
      </c>
      <c r="E196" s="15">
        <f t="shared" ca="1" si="26"/>
        <v>2.7804878048780486</v>
      </c>
      <c r="F196" s="16" t="str">
        <f>IF(ISNUMBER(C196),IF(AND(RESULTS!$C$36&lt;=C196,C196&lt;=RESULTS!$D$36),E196,""),"")</f>
        <v/>
      </c>
      <c r="G196" s="16" t="str">
        <f t="shared" ca="1" si="27"/>
        <v/>
      </c>
      <c r="H196" s="16">
        <f ca="1">IF(ISNUMBER(C196),IF(AND(RESULTS!$C$37&lt;=C196,C196&lt;=RESULTS!$D$37),E196,""),"")</f>
        <v>2.7804878048780486</v>
      </c>
      <c r="I196" s="16" t="str">
        <f t="shared" ca="1" si="28"/>
        <v/>
      </c>
      <c r="J196" s="16" t="str">
        <f>IF(ISNUMBER(C196),IF(AND(RESULTS!$C$38&lt;=C196,C196&lt;=RESULTS!$D$38),E196,""),"")</f>
        <v/>
      </c>
      <c r="K196" s="16" t="str">
        <f t="shared" ca="1" si="29"/>
        <v/>
      </c>
      <c r="L196" s="16" t="str">
        <f>IF(ISNUMBER(C196),IF(AND(RESULTS!$C$39&lt;=C196,C196&lt;=RESULTS!$D$39),E196,""),"")</f>
        <v/>
      </c>
      <c r="M196" s="16" t="str">
        <f t="shared" ca="1" si="30"/>
        <v/>
      </c>
      <c r="N196" s="16" t="str">
        <f>IF(ISNUMBER(C196),IF(AND(RESULTS!$C$40&lt;=C196,C196&lt;=RESULTS!$D$40),E196,""),"")</f>
        <v/>
      </c>
      <c r="O196" s="16" t="str">
        <f t="shared" ca="1" si="31"/>
        <v/>
      </c>
    </row>
    <row r="197" spans="1:15" x14ac:dyDescent="0.25">
      <c r="A197" s="14">
        <v>97.5</v>
      </c>
      <c r="B197" s="14">
        <v>3</v>
      </c>
      <c r="C197" s="58">
        <f t="shared" si="24"/>
        <v>97.5</v>
      </c>
      <c r="D197" s="58">
        <f t="shared" si="25"/>
        <v>3</v>
      </c>
      <c r="E197" s="15">
        <f t="shared" ca="1" si="26"/>
        <v>0</v>
      </c>
      <c r="F197" s="16" t="str">
        <f>IF(ISNUMBER(C197),IF(AND(RESULTS!$C$36&lt;=C197,C197&lt;=RESULTS!$D$36),E197,""),"")</f>
        <v/>
      </c>
      <c r="G197" s="16" t="str">
        <f t="shared" ca="1" si="27"/>
        <v/>
      </c>
      <c r="H197" s="16">
        <f ca="1">IF(ISNUMBER(C197),IF(AND(RESULTS!$C$37&lt;=C197,C197&lt;=RESULTS!$D$37),E197,""),"")</f>
        <v>0</v>
      </c>
      <c r="I197" s="16" t="str">
        <f t="shared" ca="1" si="28"/>
        <v/>
      </c>
      <c r="J197" s="16" t="str">
        <f>IF(ISNUMBER(C197),IF(AND(RESULTS!$C$38&lt;=C197,C197&lt;=RESULTS!$D$38),E197,""),"")</f>
        <v/>
      </c>
      <c r="K197" s="16" t="str">
        <f t="shared" ca="1" si="29"/>
        <v/>
      </c>
      <c r="L197" s="16" t="str">
        <f>IF(ISNUMBER(C197),IF(AND(RESULTS!$C$39&lt;=C197,C197&lt;=RESULTS!$D$39),E197,""),"")</f>
        <v/>
      </c>
      <c r="M197" s="16" t="str">
        <f t="shared" ca="1" si="30"/>
        <v/>
      </c>
      <c r="N197" s="16" t="str">
        <f>IF(ISNUMBER(C197),IF(AND(RESULTS!$C$40&lt;=C197,C197&lt;=RESULTS!$D$40),E197,""),"")</f>
        <v/>
      </c>
      <c r="O197" s="16" t="str">
        <f t="shared" ca="1" si="31"/>
        <v/>
      </c>
    </row>
    <row r="198" spans="1:15" x14ac:dyDescent="0.25">
      <c r="A198" s="14">
        <v>98</v>
      </c>
      <c r="B198" s="14">
        <v>2</v>
      </c>
      <c r="C198" s="58">
        <f t="shared" si="24"/>
        <v>98</v>
      </c>
      <c r="D198" s="58">
        <f t="shared" si="25"/>
        <v>2</v>
      </c>
      <c r="E198" s="15">
        <f t="shared" ca="1" si="26"/>
        <v>0</v>
      </c>
      <c r="F198" s="16" t="str">
        <f>IF(ISNUMBER(C198),IF(AND(RESULTS!$C$36&lt;=C198,C198&lt;=RESULTS!$D$36),E198,""),"")</f>
        <v/>
      </c>
      <c r="G198" s="16" t="str">
        <f t="shared" ca="1" si="27"/>
        <v/>
      </c>
      <c r="H198" s="16">
        <f ca="1">IF(ISNUMBER(C198),IF(AND(RESULTS!$C$37&lt;=C198,C198&lt;=RESULTS!$D$37),E198,""),"")</f>
        <v>0</v>
      </c>
      <c r="I198" s="16" t="str">
        <f t="shared" ca="1" si="28"/>
        <v/>
      </c>
      <c r="J198" s="16" t="str">
        <f>IF(ISNUMBER(C198),IF(AND(RESULTS!$C$38&lt;=C198,C198&lt;=RESULTS!$D$38),E198,""),"")</f>
        <v/>
      </c>
      <c r="K198" s="16" t="str">
        <f t="shared" ca="1" si="29"/>
        <v/>
      </c>
      <c r="L198" s="16" t="str">
        <f>IF(ISNUMBER(C198),IF(AND(RESULTS!$C$39&lt;=C198,C198&lt;=RESULTS!$D$39),E198,""),"")</f>
        <v/>
      </c>
      <c r="M198" s="16" t="str">
        <f t="shared" ca="1" si="30"/>
        <v/>
      </c>
      <c r="N198" s="16" t="str">
        <f>IF(ISNUMBER(C198),IF(AND(RESULTS!$C$40&lt;=C198,C198&lt;=RESULTS!$D$40),E198,""),"")</f>
        <v/>
      </c>
      <c r="O198" s="16" t="str">
        <f t="shared" ca="1" si="31"/>
        <v/>
      </c>
    </row>
    <row r="199" spans="1:15" x14ac:dyDescent="0.25">
      <c r="A199" s="14">
        <v>98.5</v>
      </c>
      <c r="B199" s="14">
        <v>3</v>
      </c>
      <c r="C199" s="58">
        <f t="shared" si="24"/>
        <v>98.5</v>
      </c>
      <c r="D199" s="58">
        <f t="shared" si="25"/>
        <v>3</v>
      </c>
      <c r="E199" s="15">
        <f t="shared" ca="1" si="26"/>
        <v>0</v>
      </c>
      <c r="F199" s="16" t="str">
        <f>IF(ISNUMBER(C199),IF(AND(RESULTS!$C$36&lt;=C199,C199&lt;=RESULTS!$D$36),E199,""),"")</f>
        <v/>
      </c>
      <c r="G199" s="16" t="str">
        <f t="shared" ca="1" si="27"/>
        <v/>
      </c>
      <c r="H199" s="16">
        <f ca="1">IF(ISNUMBER(C199),IF(AND(RESULTS!$C$37&lt;=C199,C199&lt;=RESULTS!$D$37),E199,""),"")</f>
        <v>0</v>
      </c>
      <c r="I199" s="16" t="str">
        <f t="shared" ca="1" si="28"/>
        <v/>
      </c>
      <c r="J199" s="16" t="str">
        <f>IF(ISNUMBER(C199),IF(AND(RESULTS!$C$38&lt;=C199,C199&lt;=RESULTS!$D$38),E199,""),"")</f>
        <v/>
      </c>
      <c r="K199" s="16" t="str">
        <f t="shared" ca="1" si="29"/>
        <v/>
      </c>
      <c r="L199" s="16" t="str">
        <f>IF(ISNUMBER(C199),IF(AND(RESULTS!$C$39&lt;=C199,C199&lt;=RESULTS!$D$39),E199,""),"")</f>
        <v/>
      </c>
      <c r="M199" s="16" t="str">
        <f t="shared" ca="1" si="30"/>
        <v/>
      </c>
      <c r="N199" s="16" t="str">
        <f>IF(ISNUMBER(C199),IF(AND(RESULTS!$C$40&lt;=C199,C199&lt;=RESULTS!$D$40),E199,""),"")</f>
        <v/>
      </c>
      <c r="O199" s="16" t="str">
        <f t="shared" ca="1" si="31"/>
        <v/>
      </c>
    </row>
    <row r="200" spans="1:15" x14ac:dyDescent="0.25">
      <c r="A200" s="14">
        <v>99</v>
      </c>
      <c r="B200" s="14">
        <v>2</v>
      </c>
      <c r="C200" s="58">
        <f t="shared" si="24"/>
        <v>99</v>
      </c>
      <c r="D200" s="58">
        <f t="shared" si="25"/>
        <v>2</v>
      </c>
      <c r="E200" s="15">
        <f t="shared" ca="1" si="26"/>
        <v>0</v>
      </c>
      <c r="F200" s="16" t="str">
        <f>IF(ISNUMBER(C200),IF(AND(RESULTS!$C$36&lt;=C200,C200&lt;=RESULTS!$D$36),E200,""),"")</f>
        <v/>
      </c>
      <c r="G200" s="16" t="str">
        <f t="shared" ca="1" si="27"/>
        <v/>
      </c>
      <c r="H200" s="16">
        <f ca="1">IF(ISNUMBER(C200),IF(AND(RESULTS!$C$37&lt;=C200,C200&lt;=RESULTS!$D$37),E200,""),"")</f>
        <v>0</v>
      </c>
      <c r="I200" s="16" t="str">
        <f t="shared" ca="1" si="28"/>
        <v/>
      </c>
      <c r="J200" s="16" t="str">
        <f>IF(ISNUMBER(C200),IF(AND(RESULTS!$C$38&lt;=C200,C200&lt;=RESULTS!$D$38),E200,""),"")</f>
        <v/>
      </c>
      <c r="K200" s="16" t="str">
        <f t="shared" ca="1" si="29"/>
        <v/>
      </c>
      <c r="L200" s="16" t="str">
        <f>IF(ISNUMBER(C200),IF(AND(RESULTS!$C$39&lt;=C200,C200&lt;=RESULTS!$D$39),E200,""),"")</f>
        <v/>
      </c>
      <c r="M200" s="16" t="str">
        <f t="shared" ca="1" si="30"/>
        <v/>
      </c>
      <c r="N200" s="16" t="str">
        <f>IF(ISNUMBER(C200),IF(AND(RESULTS!$C$40&lt;=C200,C200&lt;=RESULTS!$D$40),E200,""),"")</f>
        <v/>
      </c>
      <c r="O200" s="16" t="str">
        <f t="shared" ca="1" si="31"/>
        <v/>
      </c>
    </row>
    <row r="201" spans="1:15" x14ac:dyDescent="0.25">
      <c r="A201" s="14">
        <v>99.5</v>
      </c>
      <c r="B201" s="14">
        <v>2</v>
      </c>
      <c r="C201" s="58">
        <f t="shared" si="24"/>
        <v>99.5</v>
      </c>
      <c r="D201" s="58">
        <f t="shared" si="25"/>
        <v>2</v>
      </c>
      <c r="E201" s="15">
        <f t="shared" ca="1" si="26"/>
        <v>0</v>
      </c>
      <c r="F201" s="16" t="str">
        <f>IF(ISNUMBER(C201),IF(AND(RESULTS!$C$36&lt;=C201,C201&lt;=RESULTS!$D$36),E201,""),"")</f>
        <v/>
      </c>
      <c r="G201" s="16" t="str">
        <f t="shared" ca="1" si="27"/>
        <v/>
      </c>
      <c r="H201" s="16">
        <f ca="1">IF(ISNUMBER(C201),IF(AND(RESULTS!$C$37&lt;=C201,C201&lt;=RESULTS!$D$37),E201,""),"")</f>
        <v>0</v>
      </c>
      <c r="I201" s="16" t="str">
        <f t="shared" ca="1" si="28"/>
        <v/>
      </c>
      <c r="J201" s="16" t="str">
        <f>IF(ISNUMBER(C201),IF(AND(RESULTS!$C$38&lt;=C201,C201&lt;=RESULTS!$D$38),E201,""),"")</f>
        <v/>
      </c>
      <c r="K201" s="16" t="str">
        <f t="shared" ca="1" si="29"/>
        <v/>
      </c>
      <c r="L201" s="16" t="str">
        <f>IF(ISNUMBER(C201),IF(AND(RESULTS!$C$39&lt;=C201,C201&lt;=RESULTS!$D$39),E201,""),"")</f>
        <v/>
      </c>
      <c r="M201" s="16" t="str">
        <f t="shared" ca="1" si="30"/>
        <v/>
      </c>
      <c r="N201" s="16" t="str">
        <f>IF(ISNUMBER(C201),IF(AND(RESULTS!$C$40&lt;=C201,C201&lt;=RESULTS!$D$40),E201,""),"")</f>
        <v/>
      </c>
      <c r="O201" s="16" t="str">
        <f t="shared" ca="1" si="31"/>
        <v/>
      </c>
    </row>
    <row r="202" spans="1:15" x14ac:dyDescent="0.25">
      <c r="A202" s="14">
        <v>100</v>
      </c>
      <c r="B202" s="14">
        <v>3</v>
      </c>
      <c r="C202" s="58">
        <f t="shared" si="24"/>
        <v>100</v>
      </c>
      <c r="D202" s="58">
        <f t="shared" si="25"/>
        <v>3</v>
      </c>
      <c r="E202" s="15">
        <f t="shared" ca="1" si="26"/>
        <v>0</v>
      </c>
      <c r="F202" s="16" t="str">
        <f>IF(ISNUMBER(C202),IF(AND(RESULTS!$C$36&lt;=C202,C202&lt;=RESULTS!$D$36),E202,""),"")</f>
        <v/>
      </c>
      <c r="G202" s="16" t="str">
        <f t="shared" ca="1" si="27"/>
        <v/>
      </c>
      <c r="H202" s="16">
        <f ca="1">IF(ISNUMBER(C202),IF(AND(RESULTS!$C$37&lt;=C202,C202&lt;=RESULTS!$D$37),E202,""),"")</f>
        <v>0</v>
      </c>
      <c r="I202" s="16" t="str">
        <f t="shared" ca="1" si="28"/>
        <v/>
      </c>
      <c r="J202" s="16" t="str">
        <f>IF(ISNUMBER(C202),IF(AND(RESULTS!$C$38&lt;=C202,C202&lt;=RESULTS!$D$38),E202,""),"")</f>
        <v/>
      </c>
      <c r="K202" s="16" t="str">
        <f t="shared" ca="1" si="29"/>
        <v/>
      </c>
      <c r="L202" s="16" t="str">
        <f>IF(ISNUMBER(C202),IF(AND(RESULTS!$C$39&lt;=C202,C202&lt;=RESULTS!$D$39),E202,""),"")</f>
        <v/>
      </c>
      <c r="M202" s="16" t="str">
        <f t="shared" ca="1" si="30"/>
        <v/>
      </c>
      <c r="N202" s="16" t="str">
        <f>IF(ISNUMBER(C202),IF(AND(RESULTS!$C$40&lt;=C202,C202&lt;=RESULTS!$D$40),E202,""),"")</f>
        <v/>
      </c>
      <c r="O202" s="16" t="str">
        <f t="shared" ca="1" si="31"/>
        <v/>
      </c>
    </row>
    <row r="203" spans="1:15" x14ac:dyDescent="0.25">
      <c r="A203" s="14">
        <v>100.5</v>
      </c>
      <c r="B203" s="14">
        <v>5</v>
      </c>
      <c r="C203" s="58">
        <f t="shared" si="24"/>
        <v>100.5</v>
      </c>
      <c r="D203" s="58">
        <f t="shared" si="25"/>
        <v>5</v>
      </c>
      <c r="E203" s="15">
        <f t="shared" ca="1" si="26"/>
        <v>1.7804878048780486</v>
      </c>
      <c r="F203" s="16" t="str">
        <f>IF(ISNUMBER(C203),IF(AND(RESULTS!$C$36&lt;=C203,C203&lt;=RESULTS!$D$36),E203,""),"")</f>
        <v/>
      </c>
      <c r="G203" s="16" t="str">
        <f t="shared" ca="1" si="27"/>
        <v/>
      </c>
      <c r="H203" s="16" t="str">
        <f>IF(ISNUMBER(C203),IF(AND(RESULTS!$C$37&lt;=C203,C203&lt;=RESULTS!$D$37),E203,""),"")</f>
        <v/>
      </c>
      <c r="I203" s="16" t="str">
        <f t="shared" ca="1" si="28"/>
        <v/>
      </c>
      <c r="J203" s="16" t="str">
        <f>IF(ISNUMBER(C203),IF(AND(RESULTS!$C$38&lt;=C203,C203&lt;=RESULTS!$D$38),E203,""),"")</f>
        <v/>
      </c>
      <c r="K203" s="16" t="str">
        <f t="shared" ca="1" si="29"/>
        <v/>
      </c>
      <c r="L203" s="16" t="str">
        <f>IF(ISNUMBER(C203),IF(AND(RESULTS!$C$39&lt;=C203,C203&lt;=RESULTS!$D$39),E203,""),"")</f>
        <v/>
      </c>
      <c r="M203" s="16" t="str">
        <f t="shared" ca="1" si="30"/>
        <v/>
      </c>
      <c r="N203" s="16" t="str">
        <f>IF(ISNUMBER(C203),IF(AND(RESULTS!$C$40&lt;=C203,C203&lt;=RESULTS!$D$40),E203,""),"")</f>
        <v/>
      </c>
      <c r="O203" s="16" t="str">
        <f t="shared" ca="1" si="31"/>
        <v/>
      </c>
    </row>
    <row r="204" spans="1:15" x14ac:dyDescent="0.25">
      <c r="A204" s="14">
        <v>101</v>
      </c>
      <c r="B204" s="14">
        <v>4</v>
      </c>
      <c r="C204" s="58">
        <f t="shared" si="24"/>
        <v>101</v>
      </c>
      <c r="D204" s="58">
        <f t="shared" si="25"/>
        <v>4</v>
      </c>
      <c r="E204" s="15">
        <f t="shared" ca="1" si="26"/>
        <v>0.78048780487804859</v>
      </c>
      <c r="F204" s="16" t="str">
        <f>IF(ISNUMBER(C204),IF(AND(RESULTS!$C$36&lt;=C204,C204&lt;=RESULTS!$D$36),E204,""),"")</f>
        <v/>
      </c>
      <c r="G204" s="16" t="str">
        <f t="shared" ca="1" si="27"/>
        <v/>
      </c>
      <c r="H204" s="16" t="str">
        <f>IF(ISNUMBER(C204),IF(AND(RESULTS!$C$37&lt;=C204,C204&lt;=RESULTS!$D$37),E204,""),"")</f>
        <v/>
      </c>
      <c r="I204" s="16" t="str">
        <f t="shared" ca="1" si="28"/>
        <v/>
      </c>
      <c r="J204" s="16" t="str">
        <f>IF(ISNUMBER(C204),IF(AND(RESULTS!$C$38&lt;=C204,C204&lt;=RESULTS!$D$38),E204,""),"")</f>
        <v/>
      </c>
      <c r="K204" s="16" t="str">
        <f t="shared" ca="1" si="29"/>
        <v/>
      </c>
      <c r="L204" s="16" t="str">
        <f>IF(ISNUMBER(C204),IF(AND(RESULTS!$C$39&lt;=C204,C204&lt;=RESULTS!$D$39),E204,""),"")</f>
        <v/>
      </c>
      <c r="M204" s="16" t="str">
        <f t="shared" ca="1" si="30"/>
        <v/>
      </c>
      <c r="N204" s="16" t="str">
        <f>IF(ISNUMBER(C204),IF(AND(RESULTS!$C$40&lt;=C204,C204&lt;=RESULTS!$D$40),E204,""),"")</f>
        <v/>
      </c>
      <c r="O204" s="16" t="str">
        <f t="shared" ca="1" si="31"/>
        <v/>
      </c>
    </row>
    <row r="205" spans="1:15" x14ac:dyDescent="0.25">
      <c r="A205" s="14">
        <v>101.5</v>
      </c>
      <c r="B205" s="14">
        <v>2</v>
      </c>
      <c r="C205" s="58">
        <f t="shared" si="24"/>
        <v>101.5</v>
      </c>
      <c r="D205" s="58">
        <f t="shared" si="25"/>
        <v>2</v>
      </c>
      <c r="E205" s="15">
        <f t="shared" ca="1" si="26"/>
        <v>0</v>
      </c>
      <c r="F205" s="16" t="str">
        <f>IF(ISNUMBER(C205),IF(AND(RESULTS!$C$36&lt;=C205,C205&lt;=RESULTS!$D$36),E205,""),"")</f>
        <v/>
      </c>
      <c r="G205" s="16" t="str">
        <f t="shared" ca="1" si="27"/>
        <v/>
      </c>
      <c r="H205" s="16" t="str">
        <f>IF(ISNUMBER(C205),IF(AND(RESULTS!$C$37&lt;=C205,C205&lt;=RESULTS!$D$37),E205,""),"")</f>
        <v/>
      </c>
      <c r="I205" s="16" t="str">
        <f t="shared" ca="1" si="28"/>
        <v/>
      </c>
      <c r="J205" s="16" t="str">
        <f>IF(ISNUMBER(C205),IF(AND(RESULTS!$C$38&lt;=C205,C205&lt;=RESULTS!$D$38),E205,""),"")</f>
        <v/>
      </c>
      <c r="K205" s="16" t="str">
        <f t="shared" ca="1" si="29"/>
        <v/>
      </c>
      <c r="L205" s="16" t="str">
        <f>IF(ISNUMBER(C205),IF(AND(RESULTS!$C$39&lt;=C205,C205&lt;=RESULTS!$D$39),E205,""),"")</f>
        <v/>
      </c>
      <c r="M205" s="16" t="str">
        <f t="shared" ca="1" si="30"/>
        <v/>
      </c>
      <c r="N205" s="16" t="str">
        <f>IF(ISNUMBER(C205),IF(AND(RESULTS!$C$40&lt;=C205,C205&lt;=RESULTS!$D$40),E205,""),"")</f>
        <v/>
      </c>
      <c r="O205" s="16" t="str">
        <f t="shared" ca="1" si="31"/>
        <v/>
      </c>
    </row>
    <row r="206" spans="1:15" x14ac:dyDescent="0.25">
      <c r="A206" s="14">
        <v>102</v>
      </c>
      <c r="B206" s="14">
        <v>1</v>
      </c>
      <c r="C206" s="58">
        <f t="shared" si="24"/>
        <v>102</v>
      </c>
      <c r="D206" s="58">
        <f t="shared" si="25"/>
        <v>1</v>
      </c>
      <c r="E206" s="15">
        <f t="shared" ca="1" si="26"/>
        <v>0</v>
      </c>
      <c r="F206" s="16" t="str">
        <f>IF(ISNUMBER(C206),IF(AND(RESULTS!$C$36&lt;=C206,C206&lt;=RESULTS!$D$36),E206,""),"")</f>
        <v/>
      </c>
      <c r="G206" s="16" t="str">
        <f t="shared" ca="1" si="27"/>
        <v/>
      </c>
      <c r="H206" s="16" t="str">
        <f>IF(ISNUMBER(C206),IF(AND(RESULTS!$C$37&lt;=C206,C206&lt;=RESULTS!$D$37),E206,""),"")</f>
        <v/>
      </c>
      <c r="I206" s="16" t="str">
        <f t="shared" ca="1" si="28"/>
        <v/>
      </c>
      <c r="J206" s="16" t="str">
        <f>IF(ISNUMBER(C206),IF(AND(RESULTS!$C$38&lt;=C206,C206&lt;=RESULTS!$D$38),E206,""),"")</f>
        <v/>
      </c>
      <c r="K206" s="16" t="str">
        <f t="shared" ca="1" si="29"/>
        <v/>
      </c>
      <c r="L206" s="16" t="str">
        <f>IF(ISNUMBER(C206),IF(AND(RESULTS!$C$39&lt;=C206,C206&lt;=RESULTS!$D$39),E206,""),"")</f>
        <v/>
      </c>
      <c r="M206" s="16" t="str">
        <f t="shared" ca="1" si="30"/>
        <v/>
      </c>
      <c r="N206" s="16" t="str">
        <f>IF(ISNUMBER(C206),IF(AND(RESULTS!$C$40&lt;=C206,C206&lt;=RESULTS!$D$40),E206,""),"")</f>
        <v/>
      </c>
      <c r="O206" s="16" t="str">
        <f t="shared" ca="1" si="31"/>
        <v/>
      </c>
    </row>
    <row r="207" spans="1:15" x14ac:dyDescent="0.25">
      <c r="A207" s="14">
        <v>102.5</v>
      </c>
      <c r="B207" s="14">
        <v>4</v>
      </c>
      <c r="C207" s="58">
        <f t="shared" si="24"/>
        <v>102.5</v>
      </c>
      <c r="D207" s="58">
        <f t="shared" si="25"/>
        <v>4</v>
      </c>
      <c r="E207" s="15">
        <f t="shared" ca="1" si="26"/>
        <v>0.78048780487804859</v>
      </c>
      <c r="F207" s="16" t="str">
        <f>IF(ISNUMBER(C207),IF(AND(RESULTS!$C$36&lt;=C207,C207&lt;=RESULTS!$D$36),E207,""),"")</f>
        <v/>
      </c>
      <c r="G207" s="16" t="str">
        <f t="shared" ca="1" si="27"/>
        <v/>
      </c>
      <c r="H207" s="16" t="str">
        <f>IF(ISNUMBER(C207),IF(AND(RESULTS!$C$37&lt;=C207,C207&lt;=RESULTS!$D$37),E207,""),"")</f>
        <v/>
      </c>
      <c r="I207" s="16" t="str">
        <f t="shared" ca="1" si="28"/>
        <v/>
      </c>
      <c r="J207" s="16" t="str">
        <f>IF(ISNUMBER(C207),IF(AND(RESULTS!$C$38&lt;=C207,C207&lt;=RESULTS!$D$38),E207,""),"")</f>
        <v/>
      </c>
      <c r="K207" s="16" t="str">
        <f t="shared" ca="1" si="29"/>
        <v/>
      </c>
      <c r="L207" s="16" t="str">
        <f>IF(ISNUMBER(C207),IF(AND(RESULTS!$C$39&lt;=C207,C207&lt;=RESULTS!$D$39),E207,""),"")</f>
        <v/>
      </c>
      <c r="M207" s="16" t="str">
        <f t="shared" ca="1" si="30"/>
        <v/>
      </c>
      <c r="N207" s="16" t="str">
        <f>IF(ISNUMBER(C207),IF(AND(RESULTS!$C$40&lt;=C207,C207&lt;=RESULTS!$D$40),E207,""),"")</f>
        <v/>
      </c>
      <c r="O207" s="16" t="str">
        <f t="shared" ca="1" si="31"/>
        <v/>
      </c>
    </row>
    <row r="208" spans="1:15" x14ac:dyDescent="0.25">
      <c r="A208" s="14">
        <v>103</v>
      </c>
      <c r="B208" s="7">
        <v>3</v>
      </c>
      <c r="C208" s="58">
        <f t="shared" si="24"/>
        <v>103</v>
      </c>
      <c r="D208" s="58">
        <f t="shared" si="25"/>
        <v>3</v>
      </c>
      <c r="E208" s="15">
        <f t="shared" ca="1" si="26"/>
        <v>0</v>
      </c>
      <c r="F208" s="16" t="str">
        <f>IF(ISNUMBER(C208),IF(AND(RESULTS!$C$36&lt;=C208,C208&lt;=RESULTS!$D$36),E208,""),"")</f>
        <v/>
      </c>
      <c r="G208" s="16" t="str">
        <f t="shared" ca="1" si="27"/>
        <v/>
      </c>
      <c r="H208" s="16" t="str">
        <f>IF(ISNUMBER(C208),IF(AND(RESULTS!$C$37&lt;=C208,C208&lt;=RESULTS!$D$37),E208,""),"")</f>
        <v/>
      </c>
      <c r="I208" s="16" t="str">
        <f t="shared" ca="1" si="28"/>
        <v/>
      </c>
      <c r="J208" s="16" t="str">
        <f>IF(ISNUMBER(C208),IF(AND(RESULTS!$C$38&lt;=C208,C208&lt;=RESULTS!$D$38),E208,""),"")</f>
        <v/>
      </c>
      <c r="K208" s="16" t="str">
        <f t="shared" ca="1" si="29"/>
        <v/>
      </c>
      <c r="L208" s="16" t="str">
        <f>IF(ISNUMBER(C208),IF(AND(RESULTS!$C$39&lt;=C208,C208&lt;=RESULTS!$D$39),E208,""),"")</f>
        <v/>
      </c>
      <c r="M208" s="16" t="str">
        <f t="shared" ca="1" si="30"/>
        <v/>
      </c>
      <c r="N208" s="16" t="str">
        <f>IF(ISNUMBER(C208),IF(AND(RESULTS!$C$40&lt;=C208,C208&lt;=RESULTS!$D$40),E208,""),"")</f>
        <v/>
      </c>
      <c r="O208" s="16" t="str">
        <f t="shared" ca="1" si="31"/>
        <v/>
      </c>
    </row>
    <row r="209" spans="1:15" x14ac:dyDescent="0.25">
      <c r="A209" s="14">
        <v>103.5</v>
      </c>
      <c r="B209" s="14">
        <v>4</v>
      </c>
      <c r="C209" s="58">
        <f t="shared" si="24"/>
        <v>103.5</v>
      </c>
      <c r="D209" s="58">
        <f t="shared" si="25"/>
        <v>4</v>
      </c>
      <c r="E209" s="15">
        <f t="shared" ca="1" si="26"/>
        <v>0.78048780487804859</v>
      </c>
      <c r="F209" s="16" t="str">
        <f>IF(ISNUMBER(C209),IF(AND(RESULTS!$C$36&lt;=C209,C209&lt;=RESULTS!$D$36),E209,""),"")</f>
        <v/>
      </c>
      <c r="G209" s="16" t="str">
        <f t="shared" ca="1" si="27"/>
        <v/>
      </c>
      <c r="H209" s="16" t="str">
        <f>IF(ISNUMBER(C209),IF(AND(RESULTS!$C$37&lt;=C209,C209&lt;=RESULTS!$D$37),E209,""),"")</f>
        <v/>
      </c>
      <c r="I209" s="16" t="str">
        <f t="shared" ca="1" si="28"/>
        <v/>
      </c>
      <c r="J209" s="16" t="str">
        <f>IF(ISNUMBER(C209),IF(AND(RESULTS!$C$38&lt;=C209,C209&lt;=RESULTS!$D$38),E209,""),"")</f>
        <v/>
      </c>
      <c r="K209" s="16" t="str">
        <f t="shared" ca="1" si="29"/>
        <v/>
      </c>
      <c r="L209" s="16" t="str">
        <f>IF(ISNUMBER(C209),IF(AND(RESULTS!$C$39&lt;=C209,C209&lt;=RESULTS!$D$39),E209,""),"")</f>
        <v/>
      </c>
      <c r="M209" s="16" t="str">
        <f t="shared" ca="1" si="30"/>
        <v/>
      </c>
      <c r="N209" s="16" t="str">
        <f>IF(ISNUMBER(C209),IF(AND(RESULTS!$C$40&lt;=C209,C209&lt;=RESULTS!$D$40),E209,""),"")</f>
        <v/>
      </c>
      <c r="O209" s="16" t="str">
        <f t="shared" ca="1" si="31"/>
        <v/>
      </c>
    </row>
    <row r="210" spans="1:15" x14ac:dyDescent="0.25">
      <c r="A210" s="14">
        <v>104</v>
      </c>
      <c r="B210" s="14">
        <v>5</v>
      </c>
      <c r="C210" s="58">
        <f t="shared" si="24"/>
        <v>104</v>
      </c>
      <c r="D210" s="58">
        <f t="shared" si="25"/>
        <v>5</v>
      </c>
      <c r="E210" s="15">
        <f t="shared" ca="1" si="26"/>
        <v>1.7804878048780486</v>
      </c>
      <c r="F210" s="16" t="str">
        <f>IF(ISNUMBER(C210),IF(AND(RESULTS!$C$36&lt;=C210,C210&lt;=RESULTS!$D$36),E210,""),"")</f>
        <v/>
      </c>
      <c r="G210" s="16" t="str">
        <f t="shared" ca="1" si="27"/>
        <v/>
      </c>
      <c r="H210" s="16" t="str">
        <f>IF(ISNUMBER(C210),IF(AND(RESULTS!$C$37&lt;=C210,C210&lt;=RESULTS!$D$37),E210,""),"")</f>
        <v/>
      </c>
      <c r="I210" s="16" t="str">
        <f t="shared" ca="1" si="28"/>
        <v/>
      </c>
      <c r="J210" s="16" t="str">
        <f>IF(ISNUMBER(C210),IF(AND(RESULTS!$C$38&lt;=C210,C210&lt;=RESULTS!$D$38),E210,""),"")</f>
        <v/>
      </c>
      <c r="K210" s="16" t="str">
        <f t="shared" ca="1" si="29"/>
        <v/>
      </c>
      <c r="L210" s="16" t="str">
        <f>IF(ISNUMBER(C210),IF(AND(RESULTS!$C$39&lt;=C210,C210&lt;=RESULTS!$D$39),E210,""),"")</f>
        <v/>
      </c>
      <c r="M210" s="16" t="str">
        <f t="shared" ca="1" si="30"/>
        <v/>
      </c>
      <c r="N210" s="16" t="str">
        <f>IF(ISNUMBER(C210),IF(AND(RESULTS!$C$40&lt;=C210,C210&lt;=RESULTS!$D$40),E210,""),"")</f>
        <v/>
      </c>
      <c r="O210" s="16" t="str">
        <f t="shared" ca="1" si="31"/>
        <v/>
      </c>
    </row>
    <row r="211" spans="1:15" x14ac:dyDescent="0.25">
      <c r="A211" s="14">
        <v>104.5</v>
      </c>
      <c r="B211" s="14">
        <v>4</v>
      </c>
      <c r="C211" s="58">
        <f t="shared" si="24"/>
        <v>104.5</v>
      </c>
      <c r="D211" s="58">
        <f t="shared" si="25"/>
        <v>4</v>
      </c>
      <c r="E211" s="15">
        <f t="shared" ca="1" si="26"/>
        <v>0.78048780487804859</v>
      </c>
      <c r="F211" s="16" t="str">
        <f>IF(ISNUMBER(C211),IF(AND(RESULTS!$C$36&lt;=C211,C211&lt;=RESULTS!$D$36),E211,""),"")</f>
        <v/>
      </c>
      <c r="G211" s="16" t="str">
        <f t="shared" ca="1" si="27"/>
        <v/>
      </c>
      <c r="H211" s="16" t="str">
        <f>IF(ISNUMBER(C211),IF(AND(RESULTS!$C$37&lt;=C211,C211&lt;=RESULTS!$D$37),E211,""),"")</f>
        <v/>
      </c>
      <c r="I211" s="16" t="str">
        <f t="shared" ca="1" si="28"/>
        <v/>
      </c>
      <c r="J211" s="16" t="str">
        <f>IF(ISNUMBER(C211),IF(AND(RESULTS!$C$38&lt;=C211,C211&lt;=RESULTS!$D$38),E211,""),"")</f>
        <v/>
      </c>
      <c r="K211" s="16" t="str">
        <f t="shared" ca="1" si="29"/>
        <v/>
      </c>
      <c r="L211" s="16" t="str">
        <f>IF(ISNUMBER(C211),IF(AND(RESULTS!$C$39&lt;=C211,C211&lt;=RESULTS!$D$39),E211,""),"")</f>
        <v/>
      </c>
      <c r="M211" s="16" t="str">
        <f t="shared" ca="1" si="30"/>
        <v/>
      </c>
      <c r="N211" s="16" t="str">
        <f>IF(ISNUMBER(C211),IF(AND(RESULTS!$C$40&lt;=C211,C211&lt;=RESULTS!$D$40),E211,""),"")</f>
        <v/>
      </c>
      <c r="O211" s="16" t="str">
        <f t="shared" ca="1" si="31"/>
        <v/>
      </c>
    </row>
    <row r="212" spans="1:15" x14ac:dyDescent="0.25">
      <c r="A212" s="14">
        <v>105</v>
      </c>
      <c r="B212" s="14">
        <v>3</v>
      </c>
      <c r="C212" s="58">
        <f t="shared" si="24"/>
        <v>105</v>
      </c>
      <c r="D212" s="58">
        <f t="shared" si="25"/>
        <v>3</v>
      </c>
      <c r="E212" s="15">
        <f t="shared" ca="1" si="26"/>
        <v>0</v>
      </c>
      <c r="F212" s="16" t="str">
        <f>IF(ISNUMBER(C212),IF(AND(RESULTS!$C$36&lt;=C212,C212&lt;=RESULTS!$D$36),E212,""),"")</f>
        <v/>
      </c>
      <c r="G212" s="16" t="str">
        <f t="shared" ca="1" si="27"/>
        <v/>
      </c>
      <c r="H212" s="16" t="str">
        <f>IF(ISNUMBER(C212),IF(AND(RESULTS!$C$37&lt;=C212,C212&lt;=RESULTS!$D$37),E212,""),"")</f>
        <v/>
      </c>
      <c r="I212" s="16" t="str">
        <f t="shared" ca="1" si="28"/>
        <v/>
      </c>
      <c r="J212" s="16" t="str">
        <f>IF(ISNUMBER(C212),IF(AND(RESULTS!$C$38&lt;=C212,C212&lt;=RESULTS!$D$38),E212,""),"")</f>
        <v/>
      </c>
      <c r="K212" s="16" t="str">
        <f t="shared" ca="1" si="29"/>
        <v/>
      </c>
      <c r="L212" s="16" t="str">
        <f>IF(ISNUMBER(C212),IF(AND(RESULTS!$C$39&lt;=C212,C212&lt;=RESULTS!$D$39),E212,""),"")</f>
        <v/>
      </c>
      <c r="M212" s="16" t="str">
        <f t="shared" ca="1" si="30"/>
        <v/>
      </c>
      <c r="N212" s="16" t="str">
        <f>IF(ISNUMBER(C212),IF(AND(RESULTS!$C$40&lt;=C212,C212&lt;=RESULTS!$D$40),E212,""),"")</f>
        <v/>
      </c>
      <c r="O212" s="16" t="str">
        <f t="shared" ca="1" si="31"/>
        <v/>
      </c>
    </row>
    <row r="213" spans="1:15" x14ac:dyDescent="0.25">
      <c r="A213" s="14">
        <v>105.5</v>
      </c>
      <c r="B213" s="14">
        <v>3</v>
      </c>
      <c r="C213" s="58">
        <f t="shared" si="24"/>
        <v>105.5</v>
      </c>
      <c r="D213" s="58">
        <f t="shared" si="25"/>
        <v>3</v>
      </c>
      <c r="E213" s="15">
        <f t="shared" ca="1" si="26"/>
        <v>0</v>
      </c>
      <c r="F213" s="16" t="str">
        <f>IF(ISNUMBER(C213),IF(AND(RESULTS!$C$36&lt;=C213,C213&lt;=RESULTS!$D$36),E213,""),"")</f>
        <v/>
      </c>
      <c r="G213" s="16" t="str">
        <f t="shared" ca="1" si="27"/>
        <v/>
      </c>
      <c r="H213" s="16" t="str">
        <f>IF(ISNUMBER(C213),IF(AND(RESULTS!$C$37&lt;=C213,C213&lt;=RESULTS!$D$37),E213,""),"")</f>
        <v/>
      </c>
      <c r="I213" s="16" t="str">
        <f t="shared" ca="1" si="28"/>
        <v/>
      </c>
      <c r="J213" s="16" t="str">
        <f>IF(ISNUMBER(C213),IF(AND(RESULTS!$C$38&lt;=C213,C213&lt;=RESULTS!$D$38),E213,""),"")</f>
        <v/>
      </c>
      <c r="K213" s="16" t="str">
        <f t="shared" ca="1" si="29"/>
        <v/>
      </c>
      <c r="L213" s="16" t="str">
        <f>IF(ISNUMBER(C213),IF(AND(RESULTS!$C$39&lt;=C213,C213&lt;=RESULTS!$D$39),E213,""),"")</f>
        <v/>
      </c>
      <c r="M213" s="16" t="str">
        <f t="shared" ca="1" si="30"/>
        <v/>
      </c>
      <c r="N213" s="16" t="str">
        <f>IF(ISNUMBER(C213),IF(AND(RESULTS!$C$40&lt;=C213,C213&lt;=RESULTS!$D$40),E213,""),"")</f>
        <v/>
      </c>
      <c r="O213" s="16" t="str">
        <f t="shared" ca="1" si="31"/>
        <v/>
      </c>
    </row>
    <row r="214" spans="1:15" x14ac:dyDescent="0.25">
      <c r="A214" s="14">
        <v>106</v>
      </c>
      <c r="B214" s="14">
        <v>4</v>
      </c>
      <c r="C214" s="58">
        <f t="shared" si="24"/>
        <v>106</v>
      </c>
      <c r="D214" s="58">
        <f t="shared" si="25"/>
        <v>4</v>
      </c>
      <c r="E214" s="15">
        <f t="shared" ca="1" si="26"/>
        <v>0.78048780487804859</v>
      </c>
      <c r="F214" s="16" t="str">
        <f>IF(ISNUMBER(C214),IF(AND(RESULTS!$C$36&lt;=C214,C214&lt;=RESULTS!$D$36),E214,""),"")</f>
        <v/>
      </c>
      <c r="G214" s="16" t="str">
        <f t="shared" ca="1" si="27"/>
        <v/>
      </c>
      <c r="H214" s="16" t="str">
        <f>IF(ISNUMBER(C214),IF(AND(RESULTS!$C$37&lt;=C214,C214&lt;=RESULTS!$D$37),E214,""),"")</f>
        <v/>
      </c>
      <c r="I214" s="16" t="str">
        <f t="shared" ca="1" si="28"/>
        <v/>
      </c>
      <c r="J214" s="16" t="str">
        <f>IF(ISNUMBER(C214),IF(AND(RESULTS!$C$38&lt;=C214,C214&lt;=RESULTS!$D$38),E214,""),"")</f>
        <v/>
      </c>
      <c r="K214" s="16" t="str">
        <f t="shared" ca="1" si="29"/>
        <v/>
      </c>
      <c r="L214" s="16" t="str">
        <f>IF(ISNUMBER(C214),IF(AND(RESULTS!$C$39&lt;=C214,C214&lt;=RESULTS!$D$39),E214,""),"")</f>
        <v/>
      </c>
      <c r="M214" s="16" t="str">
        <f t="shared" ca="1" si="30"/>
        <v/>
      </c>
      <c r="N214" s="16" t="str">
        <f>IF(ISNUMBER(C214),IF(AND(RESULTS!$C$40&lt;=C214,C214&lt;=RESULTS!$D$40),E214,""),"")</f>
        <v/>
      </c>
      <c r="O214" s="16" t="str">
        <f t="shared" ca="1" si="31"/>
        <v/>
      </c>
    </row>
    <row r="215" spans="1:15" x14ac:dyDescent="0.25">
      <c r="A215" s="14">
        <v>106.5</v>
      </c>
      <c r="B215" s="14">
        <v>6</v>
      </c>
      <c r="C215" s="58">
        <f t="shared" si="24"/>
        <v>106.5</v>
      </c>
      <c r="D215" s="58">
        <f t="shared" si="25"/>
        <v>6</v>
      </c>
      <c r="E215" s="15">
        <f t="shared" ca="1" si="26"/>
        <v>2.7804878048780486</v>
      </c>
      <c r="F215" s="16" t="str">
        <f>IF(ISNUMBER(C215),IF(AND(RESULTS!$C$36&lt;=C215,C215&lt;=RESULTS!$D$36),E215,""),"")</f>
        <v/>
      </c>
      <c r="G215" s="16" t="str">
        <f t="shared" ca="1" si="27"/>
        <v/>
      </c>
      <c r="H215" s="16" t="str">
        <f>IF(ISNUMBER(C215),IF(AND(RESULTS!$C$37&lt;=C215,C215&lt;=RESULTS!$D$37),E215,""),"")</f>
        <v/>
      </c>
      <c r="I215" s="16" t="str">
        <f t="shared" ca="1" si="28"/>
        <v/>
      </c>
      <c r="J215" s="16" t="str">
        <f>IF(ISNUMBER(C215),IF(AND(RESULTS!$C$38&lt;=C215,C215&lt;=RESULTS!$D$38),E215,""),"")</f>
        <v/>
      </c>
      <c r="K215" s="16" t="str">
        <f t="shared" ca="1" si="29"/>
        <v/>
      </c>
      <c r="L215" s="16" t="str">
        <f>IF(ISNUMBER(C215),IF(AND(RESULTS!$C$39&lt;=C215,C215&lt;=RESULTS!$D$39),E215,""),"")</f>
        <v/>
      </c>
      <c r="M215" s="16" t="str">
        <f t="shared" ca="1" si="30"/>
        <v/>
      </c>
      <c r="N215" s="16" t="str">
        <f>IF(ISNUMBER(C215),IF(AND(RESULTS!$C$40&lt;=C215,C215&lt;=RESULTS!$D$40),E215,""),"")</f>
        <v/>
      </c>
      <c r="O215" s="16" t="str">
        <f t="shared" ca="1" si="31"/>
        <v/>
      </c>
    </row>
    <row r="216" spans="1:15" x14ac:dyDescent="0.25">
      <c r="A216" s="14">
        <v>107</v>
      </c>
      <c r="B216" s="14">
        <v>5</v>
      </c>
      <c r="C216" s="58">
        <f t="shared" si="24"/>
        <v>107</v>
      </c>
      <c r="D216" s="58">
        <f t="shared" si="25"/>
        <v>5</v>
      </c>
      <c r="E216" s="15">
        <f t="shared" ca="1" si="26"/>
        <v>1.7804878048780486</v>
      </c>
      <c r="F216" s="16" t="str">
        <f>IF(ISNUMBER(C216),IF(AND(RESULTS!$C$36&lt;=C216,C216&lt;=RESULTS!$D$36),E216,""),"")</f>
        <v/>
      </c>
      <c r="G216" s="16" t="str">
        <f t="shared" ca="1" si="27"/>
        <v/>
      </c>
      <c r="H216" s="16" t="str">
        <f>IF(ISNUMBER(C216),IF(AND(RESULTS!$C$37&lt;=C216,C216&lt;=RESULTS!$D$37),E216,""),"")</f>
        <v/>
      </c>
      <c r="I216" s="16" t="str">
        <f t="shared" ca="1" si="28"/>
        <v/>
      </c>
      <c r="J216" s="16" t="str">
        <f>IF(ISNUMBER(C216),IF(AND(RESULTS!$C$38&lt;=C216,C216&lt;=RESULTS!$D$38),E216,""),"")</f>
        <v/>
      </c>
      <c r="K216" s="16" t="str">
        <f t="shared" ca="1" si="29"/>
        <v/>
      </c>
      <c r="L216" s="16" t="str">
        <f>IF(ISNUMBER(C216),IF(AND(RESULTS!$C$39&lt;=C216,C216&lt;=RESULTS!$D$39),E216,""),"")</f>
        <v/>
      </c>
      <c r="M216" s="16" t="str">
        <f t="shared" ca="1" si="30"/>
        <v/>
      </c>
      <c r="N216" s="16" t="str">
        <f>IF(ISNUMBER(C216),IF(AND(RESULTS!$C$40&lt;=C216,C216&lt;=RESULTS!$D$40),E216,""),"")</f>
        <v/>
      </c>
      <c r="O216" s="16" t="str">
        <f t="shared" ca="1" si="31"/>
        <v/>
      </c>
    </row>
    <row r="217" spans="1:15" x14ac:dyDescent="0.25">
      <c r="A217" s="14">
        <v>107.5</v>
      </c>
      <c r="B217" s="14">
        <v>1</v>
      </c>
      <c r="C217" s="58">
        <f t="shared" si="24"/>
        <v>107.5</v>
      </c>
      <c r="D217" s="58">
        <f t="shared" si="25"/>
        <v>1</v>
      </c>
      <c r="E217" s="15">
        <f t="shared" ca="1" si="26"/>
        <v>0</v>
      </c>
      <c r="F217" s="16" t="str">
        <f>IF(ISNUMBER(C217),IF(AND(RESULTS!$C$36&lt;=C217,C217&lt;=RESULTS!$D$36),E217,""),"")</f>
        <v/>
      </c>
      <c r="G217" s="16" t="str">
        <f t="shared" ca="1" si="27"/>
        <v/>
      </c>
      <c r="H217" s="16" t="str">
        <f>IF(ISNUMBER(C217),IF(AND(RESULTS!$C$37&lt;=C217,C217&lt;=RESULTS!$D$37),E217,""),"")</f>
        <v/>
      </c>
      <c r="I217" s="16" t="str">
        <f t="shared" ca="1" si="28"/>
        <v/>
      </c>
      <c r="J217" s="16" t="str">
        <f>IF(ISNUMBER(C217),IF(AND(RESULTS!$C$38&lt;=C217,C217&lt;=RESULTS!$D$38),E217,""),"")</f>
        <v/>
      </c>
      <c r="K217" s="16" t="str">
        <f t="shared" ca="1" si="29"/>
        <v/>
      </c>
      <c r="L217" s="16" t="str">
        <f>IF(ISNUMBER(C217),IF(AND(RESULTS!$C$39&lt;=C217,C217&lt;=RESULTS!$D$39),E217,""),"")</f>
        <v/>
      </c>
      <c r="M217" s="16" t="str">
        <f t="shared" ca="1" si="30"/>
        <v/>
      </c>
      <c r="N217" s="16" t="str">
        <f>IF(ISNUMBER(C217),IF(AND(RESULTS!$C$40&lt;=C217,C217&lt;=RESULTS!$D$40),E217,""),"")</f>
        <v/>
      </c>
      <c r="O217" s="16" t="str">
        <f t="shared" ca="1" si="31"/>
        <v/>
      </c>
    </row>
    <row r="218" spans="1:15" x14ac:dyDescent="0.25">
      <c r="A218" s="14">
        <v>108</v>
      </c>
      <c r="B218" s="14">
        <v>5</v>
      </c>
      <c r="C218" s="58">
        <f t="shared" si="24"/>
        <v>108</v>
      </c>
      <c r="D218" s="58">
        <f t="shared" si="25"/>
        <v>5</v>
      </c>
      <c r="E218" s="15">
        <f t="shared" ca="1" si="26"/>
        <v>1.7804878048780486</v>
      </c>
      <c r="F218" s="16" t="str">
        <f>IF(ISNUMBER(C218),IF(AND(RESULTS!$C$36&lt;=C218,C218&lt;=RESULTS!$D$36),E218,""),"")</f>
        <v/>
      </c>
      <c r="G218" s="16" t="str">
        <f t="shared" ca="1" si="27"/>
        <v/>
      </c>
      <c r="H218" s="16" t="str">
        <f>IF(ISNUMBER(C218),IF(AND(RESULTS!$C$37&lt;=C218,C218&lt;=RESULTS!$D$37),E218,""),"")</f>
        <v/>
      </c>
      <c r="I218" s="16" t="str">
        <f t="shared" ca="1" si="28"/>
        <v/>
      </c>
      <c r="J218" s="16" t="str">
        <f>IF(ISNUMBER(C218),IF(AND(RESULTS!$C$38&lt;=C218,C218&lt;=RESULTS!$D$38),E218,""),"")</f>
        <v/>
      </c>
      <c r="K218" s="16" t="str">
        <f t="shared" ca="1" si="29"/>
        <v/>
      </c>
      <c r="L218" s="16" t="str">
        <f>IF(ISNUMBER(C218),IF(AND(RESULTS!$C$39&lt;=C218,C218&lt;=RESULTS!$D$39),E218,""),"")</f>
        <v/>
      </c>
      <c r="M218" s="16" t="str">
        <f t="shared" ca="1" si="30"/>
        <v/>
      </c>
      <c r="N218" s="16" t="str">
        <f>IF(ISNUMBER(C218),IF(AND(RESULTS!$C$40&lt;=C218,C218&lt;=RESULTS!$D$40),E218,""),"")</f>
        <v/>
      </c>
      <c r="O218" s="16" t="str">
        <f t="shared" ca="1" si="31"/>
        <v/>
      </c>
    </row>
    <row r="219" spans="1:15" x14ac:dyDescent="0.25">
      <c r="A219" s="14">
        <v>108.5</v>
      </c>
      <c r="B219" s="14">
        <v>1</v>
      </c>
      <c r="C219" s="58">
        <f t="shared" si="24"/>
        <v>108.5</v>
      </c>
      <c r="D219" s="58">
        <f t="shared" si="25"/>
        <v>1</v>
      </c>
      <c r="E219" s="15">
        <f t="shared" ca="1" si="26"/>
        <v>0</v>
      </c>
      <c r="F219" s="16" t="str">
        <f>IF(ISNUMBER(C219),IF(AND(RESULTS!$C$36&lt;=C219,C219&lt;=RESULTS!$D$36),E219,""),"")</f>
        <v/>
      </c>
      <c r="G219" s="16" t="str">
        <f t="shared" ca="1" si="27"/>
        <v/>
      </c>
      <c r="H219" s="16" t="str">
        <f>IF(ISNUMBER(C219),IF(AND(RESULTS!$C$37&lt;=C219,C219&lt;=RESULTS!$D$37),E219,""),"")</f>
        <v/>
      </c>
      <c r="I219" s="16" t="str">
        <f t="shared" ca="1" si="28"/>
        <v/>
      </c>
      <c r="J219" s="16" t="str">
        <f>IF(ISNUMBER(C219),IF(AND(RESULTS!$C$38&lt;=C219,C219&lt;=RESULTS!$D$38),E219,""),"")</f>
        <v/>
      </c>
      <c r="K219" s="16" t="str">
        <f t="shared" ca="1" si="29"/>
        <v/>
      </c>
      <c r="L219" s="16" t="str">
        <f>IF(ISNUMBER(C219),IF(AND(RESULTS!$C$39&lt;=C219,C219&lt;=RESULTS!$D$39),E219,""),"")</f>
        <v/>
      </c>
      <c r="M219" s="16" t="str">
        <f t="shared" ca="1" si="30"/>
        <v/>
      </c>
      <c r="N219" s="16" t="str">
        <f>IF(ISNUMBER(C219),IF(AND(RESULTS!$C$40&lt;=C219,C219&lt;=RESULTS!$D$40),E219,""),"")</f>
        <v/>
      </c>
      <c r="O219" s="16" t="str">
        <f t="shared" ca="1" si="31"/>
        <v/>
      </c>
    </row>
    <row r="220" spans="1:15" x14ac:dyDescent="0.25">
      <c r="A220" s="14">
        <v>109</v>
      </c>
      <c r="B220" s="14">
        <v>5</v>
      </c>
      <c r="C220" s="58">
        <f t="shared" si="24"/>
        <v>109</v>
      </c>
      <c r="D220" s="58">
        <f t="shared" si="25"/>
        <v>5</v>
      </c>
      <c r="E220" s="15">
        <f t="shared" ca="1" si="26"/>
        <v>1.7804878048780486</v>
      </c>
      <c r="F220" s="16" t="str">
        <f>IF(ISNUMBER(C220),IF(AND(RESULTS!$C$36&lt;=C220,C220&lt;=RESULTS!$D$36),E220,""),"")</f>
        <v/>
      </c>
      <c r="G220" s="16" t="str">
        <f t="shared" ca="1" si="27"/>
        <v/>
      </c>
      <c r="H220" s="16" t="str">
        <f>IF(ISNUMBER(C220),IF(AND(RESULTS!$C$37&lt;=C220,C220&lt;=RESULTS!$D$37),E220,""),"")</f>
        <v/>
      </c>
      <c r="I220" s="16" t="str">
        <f t="shared" ca="1" si="28"/>
        <v/>
      </c>
      <c r="J220" s="16" t="str">
        <f>IF(ISNUMBER(C220),IF(AND(RESULTS!$C$38&lt;=C220,C220&lt;=RESULTS!$D$38),E220,""),"")</f>
        <v/>
      </c>
      <c r="K220" s="16" t="str">
        <f t="shared" ca="1" si="29"/>
        <v/>
      </c>
      <c r="L220" s="16" t="str">
        <f>IF(ISNUMBER(C220),IF(AND(RESULTS!$C$39&lt;=C220,C220&lt;=RESULTS!$D$39),E220,""),"")</f>
        <v/>
      </c>
      <c r="M220" s="16" t="str">
        <f t="shared" ca="1" si="30"/>
        <v/>
      </c>
      <c r="N220" s="16" t="str">
        <f>IF(ISNUMBER(C220),IF(AND(RESULTS!$C$40&lt;=C220,C220&lt;=RESULTS!$D$40),E220,""),"")</f>
        <v/>
      </c>
      <c r="O220" s="16" t="str">
        <f t="shared" ca="1" si="31"/>
        <v/>
      </c>
    </row>
    <row r="221" spans="1:15" x14ac:dyDescent="0.25">
      <c r="A221" s="14">
        <v>109.5</v>
      </c>
      <c r="B221" s="14">
        <v>2</v>
      </c>
      <c r="C221" s="58">
        <f t="shared" si="24"/>
        <v>109.5</v>
      </c>
      <c r="D221" s="58">
        <f t="shared" si="25"/>
        <v>2</v>
      </c>
      <c r="E221" s="15">
        <f t="shared" ca="1" si="26"/>
        <v>0</v>
      </c>
      <c r="F221" s="16" t="str">
        <f>IF(ISNUMBER(C221),IF(AND(RESULTS!$C$36&lt;=C221,C221&lt;=RESULTS!$D$36),E221,""),"")</f>
        <v/>
      </c>
      <c r="G221" s="16" t="str">
        <f t="shared" ca="1" si="27"/>
        <v/>
      </c>
      <c r="H221" s="16" t="str">
        <f>IF(ISNUMBER(C221),IF(AND(RESULTS!$C$37&lt;=C221,C221&lt;=RESULTS!$D$37),E221,""),"")</f>
        <v/>
      </c>
      <c r="I221" s="16" t="str">
        <f t="shared" ca="1" si="28"/>
        <v/>
      </c>
      <c r="J221" s="16" t="str">
        <f>IF(ISNUMBER(C221),IF(AND(RESULTS!$C$38&lt;=C221,C221&lt;=RESULTS!$D$38),E221,""),"")</f>
        <v/>
      </c>
      <c r="K221" s="16" t="str">
        <f t="shared" ca="1" si="29"/>
        <v/>
      </c>
      <c r="L221" s="16" t="str">
        <f>IF(ISNUMBER(C221),IF(AND(RESULTS!$C$39&lt;=C221,C221&lt;=RESULTS!$D$39),E221,""),"")</f>
        <v/>
      </c>
      <c r="M221" s="16" t="str">
        <f t="shared" ca="1" si="30"/>
        <v/>
      </c>
      <c r="N221" s="16" t="str">
        <f>IF(ISNUMBER(C221),IF(AND(RESULTS!$C$40&lt;=C221,C221&lt;=RESULTS!$D$40),E221,""),"")</f>
        <v/>
      </c>
      <c r="O221" s="16" t="str">
        <f t="shared" ca="1" si="31"/>
        <v/>
      </c>
    </row>
    <row r="222" spans="1:15" x14ac:dyDescent="0.25">
      <c r="A222" s="14">
        <v>110</v>
      </c>
      <c r="B222" s="14">
        <v>2</v>
      </c>
      <c r="C222" s="58">
        <f t="shared" si="24"/>
        <v>110</v>
      </c>
      <c r="D222" s="58">
        <f t="shared" si="25"/>
        <v>2</v>
      </c>
      <c r="E222" s="15">
        <f t="shared" ca="1" si="26"/>
        <v>0</v>
      </c>
      <c r="F222" s="16" t="str">
        <f>IF(ISNUMBER(C222),IF(AND(RESULTS!$C$36&lt;=C222,C222&lt;=RESULTS!$D$36),E222,""),"")</f>
        <v/>
      </c>
      <c r="G222" s="16" t="str">
        <f t="shared" ca="1" si="27"/>
        <v/>
      </c>
      <c r="H222" s="16" t="str">
        <f>IF(ISNUMBER(C222),IF(AND(RESULTS!$C$37&lt;=C222,C222&lt;=RESULTS!$D$37),E222,""),"")</f>
        <v/>
      </c>
      <c r="I222" s="16" t="str">
        <f t="shared" ca="1" si="28"/>
        <v/>
      </c>
      <c r="J222" s="16" t="str">
        <f>IF(ISNUMBER(C222),IF(AND(RESULTS!$C$38&lt;=C222,C222&lt;=RESULTS!$D$38),E222,""),"")</f>
        <v/>
      </c>
      <c r="K222" s="16" t="str">
        <f t="shared" ca="1" si="29"/>
        <v/>
      </c>
      <c r="L222" s="16" t="str">
        <f>IF(ISNUMBER(C222),IF(AND(RESULTS!$C$39&lt;=C222,C222&lt;=RESULTS!$D$39),E222,""),"")</f>
        <v/>
      </c>
      <c r="M222" s="16" t="str">
        <f t="shared" ca="1" si="30"/>
        <v/>
      </c>
      <c r="N222" s="16" t="str">
        <f>IF(ISNUMBER(C222),IF(AND(RESULTS!$C$40&lt;=C222,C222&lt;=RESULTS!$D$40),E222,""),"")</f>
        <v/>
      </c>
      <c r="O222" s="16" t="str">
        <f t="shared" ca="1" si="31"/>
        <v/>
      </c>
    </row>
    <row r="223" spans="1:15" x14ac:dyDescent="0.25">
      <c r="A223" s="14">
        <v>110.5</v>
      </c>
      <c r="B223" s="14">
        <v>2</v>
      </c>
      <c r="C223" s="58">
        <f t="shared" si="24"/>
        <v>110.5</v>
      </c>
      <c r="D223" s="58">
        <f t="shared" si="25"/>
        <v>2</v>
      </c>
      <c r="E223" s="15">
        <f t="shared" ca="1" si="26"/>
        <v>0</v>
      </c>
      <c r="F223" s="16" t="str">
        <f>IF(ISNUMBER(C223),IF(AND(RESULTS!$C$36&lt;=C223,C223&lt;=RESULTS!$D$36),E223,""),"")</f>
        <v/>
      </c>
      <c r="G223" s="16" t="str">
        <f t="shared" ca="1" si="27"/>
        <v/>
      </c>
      <c r="H223" s="16" t="str">
        <f>IF(ISNUMBER(C223),IF(AND(RESULTS!$C$37&lt;=C223,C223&lt;=RESULTS!$D$37),E223,""),"")</f>
        <v/>
      </c>
      <c r="I223" s="16" t="str">
        <f t="shared" ca="1" si="28"/>
        <v/>
      </c>
      <c r="J223" s="16" t="str">
        <f>IF(ISNUMBER(C223),IF(AND(RESULTS!$C$38&lt;=C223,C223&lt;=RESULTS!$D$38),E223,""),"")</f>
        <v/>
      </c>
      <c r="K223" s="16" t="str">
        <f t="shared" ca="1" si="29"/>
        <v/>
      </c>
      <c r="L223" s="16" t="str">
        <f>IF(ISNUMBER(C223),IF(AND(RESULTS!$C$39&lt;=C223,C223&lt;=RESULTS!$D$39),E223,""),"")</f>
        <v/>
      </c>
      <c r="M223" s="16" t="str">
        <f t="shared" ca="1" si="30"/>
        <v/>
      </c>
      <c r="N223" s="16" t="str">
        <f>IF(ISNUMBER(C223),IF(AND(RESULTS!$C$40&lt;=C223,C223&lt;=RESULTS!$D$40),E223,""),"")</f>
        <v/>
      </c>
      <c r="O223" s="16" t="str">
        <f t="shared" ca="1" si="31"/>
        <v/>
      </c>
    </row>
    <row r="224" spans="1:15" x14ac:dyDescent="0.25">
      <c r="A224" s="14">
        <v>111</v>
      </c>
      <c r="B224" s="14">
        <v>3</v>
      </c>
      <c r="C224" s="58">
        <f t="shared" si="24"/>
        <v>111</v>
      </c>
      <c r="D224" s="58">
        <f t="shared" si="25"/>
        <v>3</v>
      </c>
      <c r="E224" s="15">
        <f t="shared" ca="1" si="26"/>
        <v>0</v>
      </c>
      <c r="F224" s="16" t="str">
        <f>IF(ISNUMBER(C224),IF(AND(RESULTS!$C$36&lt;=C224,C224&lt;=RESULTS!$D$36),E224,""),"")</f>
        <v/>
      </c>
      <c r="G224" s="16" t="str">
        <f t="shared" ca="1" si="27"/>
        <v/>
      </c>
      <c r="H224" s="16" t="str">
        <f>IF(ISNUMBER(C224),IF(AND(RESULTS!$C$37&lt;=C224,C224&lt;=RESULTS!$D$37),E224,""),"")</f>
        <v/>
      </c>
      <c r="I224" s="16" t="str">
        <f t="shared" ca="1" si="28"/>
        <v/>
      </c>
      <c r="J224" s="16" t="str">
        <f>IF(ISNUMBER(C224),IF(AND(RESULTS!$C$38&lt;=C224,C224&lt;=RESULTS!$D$38),E224,""),"")</f>
        <v/>
      </c>
      <c r="K224" s="16" t="str">
        <f t="shared" ca="1" si="29"/>
        <v/>
      </c>
      <c r="L224" s="16" t="str">
        <f>IF(ISNUMBER(C224),IF(AND(RESULTS!$C$39&lt;=C224,C224&lt;=RESULTS!$D$39),E224,""),"")</f>
        <v/>
      </c>
      <c r="M224" s="16" t="str">
        <f t="shared" ca="1" si="30"/>
        <v/>
      </c>
      <c r="N224" s="16" t="str">
        <f>IF(ISNUMBER(C224),IF(AND(RESULTS!$C$40&lt;=C224,C224&lt;=RESULTS!$D$40),E224,""),"")</f>
        <v/>
      </c>
      <c r="O224" s="16" t="str">
        <f t="shared" ca="1" si="31"/>
        <v/>
      </c>
    </row>
    <row r="225" spans="1:15" x14ac:dyDescent="0.25">
      <c r="A225" s="14">
        <v>111.5</v>
      </c>
      <c r="B225" s="14">
        <v>2</v>
      </c>
      <c r="C225" s="58">
        <f t="shared" si="24"/>
        <v>111.5</v>
      </c>
      <c r="D225" s="58">
        <f t="shared" si="25"/>
        <v>2</v>
      </c>
      <c r="E225" s="15">
        <f t="shared" ca="1" si="26"/>
        <v>0</v>
      </c>
      <c r="F225" s="16" t="str">
        <f>IF(ISNUMBER(C225),IF(AND(RESULTS!$C$36&lt;=C225,C225&lt;=RESULTS!$D$36),E225,""),"")</f>
        <v/>
      </c>
      <c r="G225" s="16" t="str">
        <f t="shared" ca="1" si="27"/>
        <v/>
      </c>
      <c r="H225" s="16" t="str">
        <f>IF(ISNUMBER(C225),IF(AND(RESULTS!$C$37&lt;=C225,C225&lt;=RESULTS!$D$37),E225,""),"")</f>
        <v/>
      </c>
      <c r="I225" s="16" t="str">
        <f t="shared" ca="1" si="28"/>
        <v/>
      </c>
      <c r="J225" s="16" t="str">
        <f>IF(ISNUMBER(C225),IF(AND(RESULTS!$C$38&lt;=C225,C225&lt;=RESULTS!$D$38),E225,""),"")</f>
        <v/>
      </c>
      <c r="K225" s="16" t="str">
        <f t="shared" ca="1" si="29"/>
        <v/>
      </c>
      <c r="L225" s="16" t="str">
        <f>IF(ISNUMBER(C225),IF(AND(RESULTS!$C$39&lt;=C225,C225&lt;=RESULTS!$D$39),E225,""),"")</f>
        <v/>
      </c>
      <c r="M225" s="16" t="str">
        <f t="shared" ca="1" si="30"/>
        <v/>
      </c>
      <c r="N225" s="16" t="str">
        <f>IF(ISNUMBER(C225),IF(AND(RESULTS!$C$40&lt;=C225,C225&lt;=RESULTS!$D$40),E225,""),"")</f>
        <v/>
      </c>
      <c r="O225" s="16" t="str">
        <f t="shared" ca="1" si="31"/>
        <v/>
      </c>
    </row>
    <row r="226" spans="1:15" x14ac:dyDescent="0.25">
      <c r="A226" s="14">
        <v>112</v>
      </c>
      <c r="B226" s="14">
        <v>2</v>
      </c>
      <c r="C226" s="58">
        <f t="shared" si="24"/>
        <v>112</v>
      </c>
      <c r="D226" s="58">
        <f t="shared" si="25"/>
        <v>2</v>
      </c>
      <c r="E226" s="15">
        <f t="shared" ca="1" si="26"/>
        <v>0</v>
      </c>
      <c r="F226" s="16" t="str">
        <f>IF(ISNUMBER(C226),IF(AND(RESULTS!$C$36&lt;=C226,C226&lt;=RESULTS!$D$36),E226,""),"")</f>
        <v/>
      </c>
      <c r="G226" s="16" t="str">
        <f t="shared" ca="1" si="27"/>
        <v/>
      </c>
      <c r="H226" s="16" t="str">
        <f>IF(ISNUMBER(C226),IF(AND(RESULTS!$C$37&lt;=C226,C226&lt;=RESULTS!$D$37),E226,""),"")</f>
        <v/>
      </c>
      <c r="I226" s="16" t="str">
        <f t="shared" ca="1" si="28"/>
        <v/>
      </c>
      <c r="J226" s="16" t="str">
        <f>IF(ISNUMBER(C226),IF(AND(RESULTS!$C$38&lt;=C226,C226&lt;=RESULTS!$D$38),E226,""),"")</f>
        <v/>
      </c>
      <c r="K226" s="16" t="str">
        <f t="shared" ca="1" si="29"/>
        <v/>
      </c>
      <c r="L226" s="16" t="str">
        <f>IF(ISNUMBER(C226),IF(AND(RESULTS!$C$39&lt;=C226,C226&lt;=RESULTS!$D$39),E226,""),"")</f>
        <v/>
      </c>
      <c r="M226" s="16" t="str">
        <f t="shared" ca="1" si="30"/>
        <v/>
      </c>
      <c r="N226" s="16" t="str">
        <f>IF(ISNUMBER(C226),IF(AND(RESULTS!$C$40&lt;=C226,C226&lt;=RESULTS!$D$40),E226,""),"")</f>
        <v/>
      </c>
      <c r="O226" s="16" t="str">
        <f t="shared" ca="1" si="31"/>
        <v/>
      </c>
    </row>
    <row r="227" spans="1:15" x14ac:dyDescent="0.25">
      <c r="A227" s="14">
        <v>112.5</v>
      </c>
      <c r="B227" s="14">
        <v>2</v>
      </c>
      <c r="C227" s="58">
        <f t="shared" si="24"/>
        <v>112.5</v>
      </c>
      <c r="D227" s="58">
        <f t="shared" si="25"/>
        <v>2</v>
      </c>
      <c r="E227" s="15">
        <f t="shared" ca="1" si="26"/>
        <v>0</v>
      </c>
      <c r="F227" s="16" t="str">
        <f>IF(ISNUMBER(C227),IF(AND(RESULTS!$C$36&lt;=C227,C227&lt;=RESULTS!$D$36),E227,""),"")</f>
        <v/>
      </c>
      <c r="G227" s="16" t="str">
        <f t="shared" ca="1" si="27"/>
        <v/>
      </c>
      <c r="H227" s="16" t="str">
        <f>IF(ISNUMBER(C227),IF(AND(RESULTS!$C$37&lt;=C227,C227&lt;=RESULTS!$D$37),E227,""),"")</f>
        <v/>
      </c>
      <c r="I227" s="16" t="str">
        <f t="shared" ca="1" si="28"/>
        <v/>
      </c>
      <c r="J227" s="16" t="str">
        <f>IF(ISNUMBER(C227),IF(AND(RESULTS!$C$38&lt;=C227,C227&lt;=RESULTS!$D$38),E227,""),"")</f>
        <v/>
      </c>
      <c r="K227" s="16" t="str">
        <f t="shared" ca="1" si="29"/>
        <v/>
      </c>
      <c r="L227" s="16" t="str">
        <f>IF(ISNUMBER(C227),IF(AND(RESULTS!$C$39&lt;=C227,C227&lt;=RESULTS!$D$39),E227,""),"")</f>
        <v/>
      </c>
      <c r="M227" s="16" t="str">
        <f t="shared" ca="1" si="30"/>
        <v/>
      </c>
      <c r="N227" s="16" t="str">
        <f>IF(ISNUMBER(C227),IF(AND(RESULTS!$C$40&lt;=C227,C227&lt;=RESULTS!$D$40),E227,""),"")</f>
        <v/>
      </c>
      <c r="O227" s="16" t="str">
        <f t="shared" ca="1" si="31"/>
        <v/>
      </c>
    </row>
    <row r="228" spans="1:15" x14ac:dyDescent="0.25">
      <c r="A228" s="14">
        <v>113</v>
      </c>
      <c r="B228" s="14">
        <v>7</v>
      </c>
      <c r="C228" s="58">
        <f t="shared" si="24"/>
        <v>113</v>
      </c>
      <c r="D228" s="58">
        <f t="shared" si="25"/>
        <v>7</v>
      </c>
      <c r="E228" s="15">
        <f t="shared" ca="1" si="26"/>
        <v>3.7804878048780486</v>
      </c>
      <c r="F228" s="16" t="str">
        <f>IF(ISNUMBER(C228),IF(AND(RESULTS!$C$36&lt;=C228,C228&lt;=RESULTS!$D$36),E228,""),"")</f>
        <v/>
      </c>
      <c r="G228" s="16" t="str">
        <f t="shared" ca="1" si="27"/>
        <v/>
      </c>
      <c r="H228" s="16" t="str">
        <f>IF(ISNUMBER(C228),IF(AND(RESULTS!$C$37&lt;=C228,C228&lt;=RESULTS!$D$37),E228,""),"")</f>
        <v/>
      </c>
      <c r="I228" s="16" t="str">
        <f t="shared" ca="1" si="28"/>
        <v/>
      </c>
      <c r="J228" s="16" t="str">
        <f>IF(ISNUMBER(C228),IF(AND(RESULTS!$C$38&lt;=C228,C228&lt;=RESULTS!$D$38),E228,""),"")</f>
        <v/>
      </c>
      <c r="K228" s="16" t="str">
        <f t="shared" ca="1" si="29"/>
        <v/>
      </c>
      <c r="L228" s="16" t="str">
        <f>IF(ISNUMBER(C228),IF(AND(RESULTS!$C$39&lt;=C228,C228&lt;=RESULTS!$D$39),E228,""),"")</f>
        <v/>
      </c>
      <c r="M228" s="16" t="str">
        <f t="shared" ca="1" si="30"/>
        <v/>
      </c>
      <c r="N228" s="16" t="str">
        <f>IF(ISNUMBER(C228),IF(AND(RESULTS!$C$40&lt;=C228,C228&lt;=RESULTS!$D$40),E228,""),"")</f>
        <v/>
      </c>
      <c r="O228" s="16" t="str">
        <f t="shared" ca="1" si="31"/>
        <v/>
      </c>
    </row>
    <row r="229" spans="1:15" x14ac:dyDescent="0.25">
      <c r="A229" s="14">
        <v>113.5</v>
      </c>
      <c r="B229" s="14">
        <v>2</v>
      </c>
      <c r="C229" s="58">
        <f t="shared" si="24"/>
        <v>113.5</v>
      </c>
      <c r="D229" s="58">
        <f t="shared" si="25"/>
        <v>2</v>
      </c>
      <c r="E229" s="15">
        <f t="shared" ca="1" si="26"/>
        <v>0</v>
      </c>
      <c r="F229" s="16" t="str">
        <f>IF(ISNUMBER(C229),IF(AND(RESULTS!$C$36&lt;=C229,C229&lt;=RESULTS!$D$36),E229,""),"")</f>
        <v/>
      </c>
      <c r="G229" s="16" t="str">
        <f t="shared" ca="1" si="27"/>
        <v/>
      </c>
      <c r="H229" s="16" t="str">
        <f>IF(ISNUMBER(C229),IF(AND(RESULTS!$C$37&lt;=C229,C229&lt;=RESULTS!$D$37),E229,""),"")</f>
        <v/>
      </c>
      <c r="I229" s="16" t="str">
        <f t="shared" ca="1" si="28"/>
        <v/>
      </c>
      <c r="J229" s="16" t="str">
        <f>IF(ISNUMBER(C229),IF(AND(RESULTS!$C$38&lt;=C229,C229&lt;=RESULTS!$D$38),E229,""),"")</f>
        <v/>
      </c>
      <c r="K229" s="16" t="str">
        <f t="shared" ca="1" si="29"/>
        <v/>
      </c>
      <c r="L229" s="16" t="str">
        <f>IF(ISNUMBER(C229),IF(AND(RESULTS!$C$39&lt;=C229,C229&lt;=RESULTS!$D$39),E229,""),"")</f>
        <v/>
      </c>
      <c r="M229" s="16" t="str">
        <f t="shared" ca="1" si="30"/>
        <v/>
      </c>
      <c r="N229" s="16" t="str">
        <f>IF(ISNUMBER(C229),IF(AND(RESULTS!$C$40&lt;=C229,C229&lt;=RESULTS!$D$40),E229,""),"")</f>
        <v/>
      </c>
      <c r="O229" s="16" t="str">
        <f t="shared" ca="1" si="31"/>
        <v/>
      </c>
    </row>
    <row r="230" spans="1:15" x14ac:dyDescent="0.25">
      <c r="A230" s="14">
        <v>114</v>
      </c>
      <c r="B230" s="14">
        <v>3</v>
      </c>
      <c r="C230" s="58">
        <f t="shared" si="24"/>
        <v>114</v>
      </c>
      <c r="D230" s="58">
        <f t="shared" si="25"/>
        <v>3</v>
      </c>
      <c r="E230" s="15">
        <f t="shared" ca="1" si="26"/>
        <v>0</v>
      </c>
      <c r="F230" s="16" t="str">
        <f>IF(ISNUMBER(C230),IF(AND(RESULTS!$C$36&lt;=C230,C230&lt;=RESULTS!$D$36),E230,""),"")</f>
        <v/>
      </c>
      <c r="G230" s="16" t="str">
        <f t="shared" ca="1" si="27"/>
        <v/>
      </c>
      <c r="H230" s="16" t="str">
        <f>IF(ISNUMBER(C230),IF(AND(RESULTS!$C$37&lt;=C230,C230&lt;=RESULTS!$D$37),E230,""),"")</f>
        <v/>
      </c>
      <c r="I230" s="16" t="str">
        <f t="shared" ca="1" si="28"/>
        <v/>
      </c>
      <c r="J230" s="16" t="str">
        <f>IF(ISNUMBER(C230),IF(AND(RESULTS!$C$38&lt;=C230,C230&lt;=RESULTS!$D$38),E230,""),"")</f>
        <v/>
      </c>
      <c r="K230" s="16" t="str">
        <f t="shared" ca="1" si="29"/>
        <v/>
      </c>
      <c r="L230" s="16" t="str">
        <f>IF(ISNUMBER(C230),IF(AND(RESULTS!$C$39&lt;=C230,C230&lt;=RESULTS!$D$39),E230,""),"")</f>
        <v/>
      </c>
      <c r="M230" s="16" t="str">
        <f t="shared" ca="1" si="30"/>
        <v/>
      </c>
      <c r="N230" s="16" t="str">
        <f>IF(ISNUMBER(C230),IF(AND(RESULTS!$C$40&lt;=C230,C230&lt;=RESULTS!$D$40),E230,""),"")</f>
        <v/>
      </c>
      <c r="O230" s="16" t="str">
        <f t="shared" ca="1" si="31"/>
        <v/>
      </c>
    </row>
    <row r="231" spans="1:15" x14ac:dyDescent="0.25">
      <c r="A231" s="14">
        <v>114.5</v>
      </c>
      <c r="B231" s="14">
        <v>5</v>
      </c>
      <c r="C231" s="58">
        <f t="shared" si="24"/>
        <v>114.5</v>
      </c>
      <c r="D231" s="58">
        <f t="shared" si="25"/>
        <v>5</v>
      </c>
      <c r="E231" s="15">
        <f t="shared" ca="1" si="26"/>
        <v>1.7804878048780486</v>
      </c>
      <c r="F231" s="16" t="str">
        <f>IF(ISNUMBER(C231),IF(AND(RESULTS!$C$36&lt;=C231,C231&lt;=RESULTS!$D$36),E231,""),"")</f>
        <v/>
      </c>
      <c r="G231" s="16" t="str">
        <f t="shared" ca="1" si="27"/>
        <v/>
      </c>
      <c r="H231" s="16" t="str">
        <f>IF(ISNUMBER(C231),IF(AND(RESULTS!$C$37&lt;=C231,C231&lt;=RESULTS!$D$37),E231,""),"")</f>
        <v/>
      </c>
      <c r="I231" s="16" t="str">
        <f t="shared" ca="1" si="28"/>
        <v/>
      </c>
      <c r="J231" s="16" t="str">
        <f>IF(ISNUMBER(C231),IF(AND(RESULTS!$C$38&lt;=C231,C231&lt;=RESULTS!$D$38),E231,""),"")</f>
        <v/>
      </c>
      <c r="K231" s="16" t="str">
        <f t="shared" ca="1" si="29"/>
        <v/>
      </c>
      <c r="L231" s="16" t="str">
        <f>IF(ISNUMBER(C231),IF(AND(RESULTS!$C$39&lt;=C231,C231&lt;=RESULTS!$D$39),E231,""),"")</f>
        <v/>
      </c>
      <c r="M231" s="16" t="str">
        <f t="shared" ca="1" si="30"/>
        <v/>
      </c>
      <c r="N231" s="16" t="str">
        <f>IF(ISNUMBER(C231),IF(AND(RESULTS!$C$40&lt;=C231,C231&lt;=RESULTS!$D$40),E231,""),"")</f>
        <v/>
      </c>
      <c r="O231" s="16" t="str">
        <f t="shared" ca="1" si="31"/>
        <v/>
      </c>
    </row>
    <row r="232" spans="1:15" x14ac:dyDescent="0.25">
      <c r="A232" s="14">
        <v>115</v>
      </c>
      <c r="B232" s="14">
        <v>0</v>
      </c>
      <c r="C232" s="58">
        <f t="shared" si="24"/>
        <v>115</v>
      </c>
      <c r="D232" s="58">
        <f t="shared" si="25"/>
        <v>0</v>
      </c>
      <c r="E232" s="15">
        <f t="shared" ca="1" si="26"/>
        <v>0</v>
      </c>
      <c r="F232" s="16" t="str">
        <f>IF(ISNUMBER(C232),IF(AND(RESULTS!$C$36&lt;=C232,C232&lt;=RESULTS!$D$36),E232,""),"")</f>
        <v/>
      </c>
      <c r="G232" s="16" t="str">
        <f t="shared" ca="1" si="27"/>
        <v/>
      </c>
      <c r="H232" s="16" t="str">
        <f>IF(ISNUMBER(C232),IF(AND(RESULTS!$C$37&lt;=C232,C232&lt;=RESULTS!$D$37),E232,""),"")</f>
        <v/>
      </c>
      <c r="I232" s="16" t="str">
        <f t="shared" ca="1" si="28"/>
        <v/>
      </c>
      <c r="J232" s="16" t="str">
        <f>IF(ISNUMBER(C232),IF(AND(RESULTS!$C$38&lt;=C232,C232&lt;=RESULTS!$D$38),E232,""),"")</f>
        <v/>
      </c>
      <c r="K232" s="16" t="str">
        <f t="shared" ca="1" si="29"/>
        <v/>
      </c>
      <c r="L232" s="16" t="str">
        <f>IF(ISNUMBER(C232),IF(AND(RESULTS!$C$39&lt;=C232,C232&lt;=RESULTS!$D$39),E232,""),"")</f>
        <v/>
      </c>
      <c r="M232" s="16" t="str">
        <f t="shared" ca="1" si="30"/>
        <v/>
      </c>
      <c r="N232" s="16" t="str">
        <f>IF(ISNUMBER(C232),IF(AND(RESULTS!$C$40&lt;=C232,C232&lt;=RESULTS!$D$40),E232,""),"")</f>
        <v/>
      </c>
      <c r="O232" s="16" t="str">
        <f t="shared" ca="1" si="31"/>
        <v/>
      </c>
    </row>
    <row r="233" spans="1:15" x14ac:dyDescent="0.25">
      <c r="A233" s="14">
        <v>115.5</v>
      </c>
      <c r="B233" s="14">
        <v>4</v>
      </c>
      <c r="C233" s="58">
        <f t="shared" si="24"/>
        <v>115.5</v>
      </c>
      <c r="D233" s="58">
        <f t="shared" si="25"/>
        <v>4</v>
      </c>
      <c r="E233" s="15">
        <f t="shared" ca="1" si="26"/>
        <v>0.78048780487804859</v>
      </c>
      <c r="F233" s="16" t="str">
        <f>IF(ISNUMBER(C233),IF(AND(RESULTS!$C$36&lt;=C233,C233&lt;=RESULTS!$D$36),E233,""),"")</f>
        <v/>
      </c>
      <c r="G233" s="16" t="str">
        <f t="shared" ca="1" si="27"/>
        <v/>
      </c>
      <c r="H233" s="16" t="str">
        <f>IF(ISNUMBER(C233),IF(AND(RESULTS!$C$37&lt;=C233,C233&lt;=RESULTS!$D$37),E233,""),"")</f>
        <v/>
      </c>
      <c r="I233" s="16" t="str">
        <f t="shared" ca="1" si="28"/>
        <v/>
      </c>
      <c r="J233" s="16" t="str">
        <f>IF(ISNUMBER(C233),IF(AND(RESULTS!$C$38&lt;=C233,C233&lt;=RESULTS!$D$38),E233,""),"")</f>
        <v/>
      </c>
      <c r="K233" s="16" t="str">
        <f t="shared" ca="1" si="29"/>
        <v/>
      </c>
      <c r="L233" s="16" t="str">
        <f>IF(ISNUMBER(C233),IF(AND(RESULTS!$C$39&lt;=C233,C233&lt;=RESULTS!$D$39),E233,""),"")</f>
        <v/>
      </c>
      <c r="M233" s="16" t="str">
        <f t="shared" ca="1" si="30"/>
        <v/>
      </c>
      <c r="N233" s="16" t="str">
        <f>IF(ISNUMBER(C233),IF(AND(RESULTS!$C$40&lt;=C233,C233&lt;=RESULTS!$D$40),E233,""),"")</f>
        <v/>
      </c>
      <c r="O233" s="16" t="str">
        <f t="shared" ca="1" si="31"/>
        <v/>
      </c>
    </row>
    <row r="234" spans="1:15" x14ac:dyDescent="0.25">
      <c r="A234" s="14">
        <v>116</v>
      </c>
      <c r="B234" s="14">
        <v>2</v>
      </c>
      <c r="C234" s="58">
        <f t="shared" si="24"/>
        <v>116</v>
      </c>
      <c r="D234" s="58">
        <f t="shared" si="25"/>
        <v>2</v>
      </c>
      <c r="E234" s="15">
        <f t="shared" ca="1" si="26"/>
        <v>0</v>
      </c>
      <c r="F234" s="16" t="str">
        <f>IF(ISNUMBER(C234),IF(AND(RESULTS!$C$36&lt;=C234,C234&lt;=RESULTS!$D$36),E234,""),"")</f>
        <v/>
      </c>
      <c r="G234" s="16" t="str">
        <f t="shared" ca="1" si="27"/>
        <v/>
      </c>
      <c r="H234" s="16" t="str">
        <f>IF(ISNUMBER(C234),IF(AND(RESULTS!$C$37&lt;=C234,C234&lt;=RESULTS!$D$37),E234,""),"")</f>
        <v/>
      </c>
      <c r="I234" s="16" t="str">
        <f t="shared" ca="1" si="28"/>
        <v/>
      </c>
      <c r="J234" s="16" t="str">
        <f>IF(ISNUMBER(C234),IF(AND(RESULTS!$C$38&lt;=C234,C234&lt;=RESULTS!$D$38),E234,""),"")</f>
        <v/>
      </c>
      <c r="K234" s="16" t="str">
        <f t="shared" ca="1" si="29"/>
        <v/>
      </c>
      <c r="L234" s="16" t="str">
        <f>IF(ISNUMBER(C234),IF(AND(RESULTS!$C$39&lt;=C234,C234&lt;=RESULTS!$D$39),E234,""),"")</f>
        <v/>
      </c>
      <c r="M234" s="16" t="str">
        <f t="shared" ca="1" si="30"/>
        <v/>
      </c>
      <c r="N234" s="16" t="str">
        <f>IF(ISNUMBER(C234),IF(AND(RESULTS!$C$40&lt;=C234,C234&lt;=RESULTS!$D$40),E234,""),"")</f>
        <v/>
      </c>
      <c r="O234" s="16" t="str">
        <f t="shared" ca="1" si="31"/>
        <v/>
      </c>
    </row>
    <row r="235" spans="1:15" x14ac:dyDescent="0.25">
      <c r="A235" s="14">
        <v>116.5</v>
      </c>
      <c r="B235" s="14">
        <v>6</v>
      </c>
      <c r="C235" s="58">
        <f t="shared" si="24"/>
        <v>116.5</v>
      </c>
      <c r="D235" s="58">
        <f t="shared" si="25"/>
        <v>6</v>
      </c>
      <c r="E235" s="15">
        <f t="shared" ca="1" si="26"/>
        <v>2.7804878048780486</v>
      </c>
      <c r="F235" s="16" t="str">
        <f>IF(ISNUMBER(C235),IF(AND(RESULTS!$C$36&lt;=C235,C235&lt;=RESULTS!$D$36),E235,""),"")</f>
        <v/>
      </c>
      <c r="G235" s="16" t="str">
        <f t="shared" ca="1" si="27"/>
        <v/>
      </c>
      <c r="H235" s="16" t="str">
        <f>IF(ISNUMBER(C235),IF(AND(RESULTS!$C$37&lt;=C235,C235&lt;=RESULTS!$D$37),E235,""),"")</f>
        <v/>
      </c>
      <c r="I235" s="16" t="str">
        <f t="shared" ca="1" si="28"/>
        <v/>
      </c>
      <c r="J235" s="16" t="str">
        <f>IF(ISNUMBER(C235),IF(AND(RESULTS!$C$38&lt;=C235,C235&lt;=RESULTS!$D$38),E235,""),"")</f>
        <v/>
      </c>
      <c r="K235" s="16" t="str">
        <f t="shared" ca="1" si="29"/>
        <v/>
      </c>
      <c r="L235" s="16" t="str">
        <f>IF(ISNUMBER(C235),IF(AND(RESULTS!$C$39&lt;=C235,C235&lt;=RESULTS!$D$39),E235,""),"")</f>
        <v/>
      </c>
      <c r="M235" s="16" t="str">
        <f t="shared" ca="1" si="30"/>
        <v/>
      </c>
      <c r="N235" s="16" t="str">
        <f>IF(ISNUMBER(C235),IF(AND(RESULTS!$C$40&lt;=C235,C235&lt;=RESULTS!$D$40),E235,""),"")</f>
        <v/>
      </c>
      <c r="O235" s="16" t="str">
        <f t="shared" ca="1" si="31"/>
        <v/>
      </c>
    </row>
    <row r="236" spans="1:15" x14ac:dyDescent="0.25">
      <c r="A236" s="14">
        <v>117</v>
      </c>
      <c r="B236" s="14">
        <v>2</v>
      </c>
      <c r="C236" s="58">
        <f t="shared" si="24"/>
        <v>117</v>
      </c>
      <c r="D236" s="58">
        <f t="shared" si="25"/>
        <v>2</v>
      </c>
      <c r="E236" s="15">
        <f t="shared" ca="1" si="26"/>
        <v>0</v>
      </c>
      <c r="F236" s="16" t="str">
        <f>IF(ISNUMBER(C236),IF(AND(RESULTS!$C$36&lt;=C236,C236&lt;=RESULTS!$D$36),E236,""),"")</f>
        <v/>
      </c>
      <c r="G236" s="16" t="str">
        <f t="shared" ca="1" si="27"/>
        <v/>
      </c>
      <c r="H236" s="16" t="str">
        <f>IF(ISNUMBER(C236),IF(AND(RESULTS!$C$37&lt;=C236,C236&lt;=RESULTS!$D$37),E236,""),"")</f>
        <v/>
      </c>
      <c r="I236" s="16" t="str">
        <f t="shared" ca="1" si="28"/>
        <v/>
      </c>
      <c r="J236" s="16" t="str">
        <f>IF(ISNUMBER(C236),IF(AND(RESULTS!$C$38&lt;=C236,C236&lt;=RESULTS!$D$38),E236,""),"")</f>
        <v/>
      </c>
      <c r="K236" s="16" t="str">
        <f t="shared" ca="1" si="29"/>
        <v/>
      </c>
      <c r="L236" s="16" t="str">
        <f>IF(ISNUMBER(C236),IF(AND(RESULTS!$C$39&lt;=C236,C236&lt;=RESULTS!$D$39),E236,""),"")</f>
        <v/>
      </c>
      <c r="M236" s="16" t="str">
        <f t="shared" ca="1" si="30"/>
        <v/>
      </c>
      <c r="N236" s="16" t="str">
        <f>IF(ISNUMBER(C236),IF(AND(RESULTS!$C$40&lt;=C236,C236&lt;=RESULTS!$D$40),E236,""),"")</f>
        <v/>
      </c>
      <c r="O236" s="16" t="str">
        <f t="shared" ca="1" si="31"/>
        <v/>
      </c>
    </row>
    <row r="237" spans="1:15" x14ac:dyDescent="0.25">
      <c r="A237" s="14">
        <v>117.5</v>
      </c>
      <c r="B237" s="14">
        <v>4</v>
      </c>
      <c r="C237" s="58">
        <f t="shared" si="24"/>
        <v>117.5</v>
      </c>
      <c r="D237" s="58">
        <f t="shared" si="25"/>
        <v>4</v>
      </c>
      <c r="E237" s="15">
        <f t="shared" ca="1" si="26"/>
        <v>0.78048780487804859</v>
      </c>
      <c r="F237" s="16" t="str">
        <f>IF(ISNUMBER(C237),IF(AND(RESULTS!$C$36&lt;=C237,C237&lt;=RESULTS!$D$36),E237,""),"")</f>
        <v/>
      </c>
      <c r="G237" s="16" t="str">
        <f t="shared" ca="1" si="27"/>
        <v/>
      </c>
      <c r="H237" s="16" t="str">
        <f>IF(ISNUMBER(C237),IF(AND(RESULTS!$C$37&lt;=C237,C237&lt;=RESULTS!$D$37),E237,""),"")</f>
        <v/>
      </c>
      <c r="I237" s="16" t="str">
        <f t="shared" ca="1" si="28"/>
        <v/>
      </c>
      <c r="J237" s="16" t="str">
        <f>IF(ISNUMBER(C237),IF(AND(RESULTS!$C$38&lt;=C237,C237&lt;=RESULTS!$D$38),E237,""),"")</f>
        <v/>
      </c>
      <c r="K237" s="16" t="str">
        <f t="shared" ca="1" si="29"/>
        <v/>
      </c>
      <c r="L237" s="16" t="str">
        <f>IF(ISNUMBER(C237),IF(AND(RESULTS!$C$39&lt;=C237,C237&lt;=RESULTS!$D$39),E237,""),"")</f>
        <v/>
      </c>
      <c r="M237" s="16" t="str">
        <f t="shared" ca="1" si="30"/>
        <v/>
      </c>
      <c r="N237" s="16" t="str">
        <f>IF(ISNUMBER(C237),IF(AND(RESULTS!$C$40&lt;=C237,C237&lt;=RESULTS!$D$40),E237,""),"")</f>
        <v/>
      </c>
      <c r="O237" s="16" t="str">
        <f t="shared" ca="1" si="31"/>
        <v/>
      </c>
    </row>
    <row r="238" spans="1:15" x14ac:dyDescent="0.25">
      <c r="A238" s="14">
        <v>118</v>
      </c>
      <c r="B238" s="14">
        <v>4</v>
      </c>
      <c r="C238" s="58">
        <f t="shared" si="24"/>
        <v>118</v>
      </c>
      <c r="D238" s="58">
        <f t="shared" si="25"/>
        <v>4</v>
      </c>
      <c r="E238" s="15">
        <f t="shared" ca="1" si="26"/>
        <v>0.78048780487804859</v>
      </c>
      <c r="F238" s="16" t="str">
        <f>IF(ISNUMBER(C238),IF(AND(RESULTS!$C$36&lt;=C238,C238&lt;=RESULTS!$D$36),E238,""),"")</f>
        <v/>
      </c>
      <c r="G238" s="16" t="str">
        <f t="shared" ca="1" si="27"/>
        <v/>
      </c>
      <c r="H238" s="16" t="str">
        <f>IF(ISNUMBER(C238),IF(AND(RESULTS!$C$37&lt;=C238,C238&lt;=RESULTS!$D$37),E238,""),"")</f>
        <v/>
      </c>
      <c r="I238" s="16" t="str">
        <f t="shared" ca="1" si="28"/>
        <v/>
      </c>
      <c r="J238" s="16" t="str">
        <f>IF(ISNUMBER(C238),IF(AND(RESULTS!$C$38&lt;=C238,C238&lt;=RESULTS!$D$38),E238,""),"")</f>
        <v/>
      </c>
      <c r="K238" s="16" t="str">
        <f t="shared" ca="1" si="29"/>
        <v/>
      </c>
      <c r="L238" s="16" t="str">
        <f>IF(ISNUMBER(C238),IF(AND(RESULTS!$C$39&lt;=C238,C238&lt;=RESULTS!$D$39),E238,""),"")</f>
        <v/>
      </c>
      <c r="M238" s="16" t="str">
        <f t="shared" ca="1" si="30"/>
        <v/>
      </c>
      <c r="N238" s="16" t="str">
        <f>IF(ISNUMBER(C238),IF(AND(RESULTS!$C$40&lt;=C238,C238&lt;=RESULTS!$D$40),E238,""),"")</f>
        <v/>
      </c>
      <c r="O238" s="16" t="str">
        <f t="shared" ca="1" si="31"/>
        <v/>
      </c>
    </row>
    <row r="239" spans="1:15" x14ac:dyDescent="0.25">
      <c r="A239" s="14">
        <v>118.5</v>
      </c>
      <c r="B239" s="14">
        <v>2</v>
      </c>
      <c r="C239" s="58">
        <f t="shared" si="24"/>
        <v>118.5</v>
      </c>
      <c r="D239" s="58">
        <f t="shared" si="25"/>
        <v>2</v>
      </c>
      <c r="E239" s="15">
        <f t="shared" ca="1" si="26"/>
        <v>0</v>
      </c>
      <c r="F239" s="16" t="str">
        <f>IF(ISNUMBER(C239),IF(AND(RESULTS!$C$36&lt;=C239,C239&lt;=RESULTS!$D$36),E239,""),"")</f>
        <v/>
      </c>
      <c r="G239" s="16" t="str">
        <f t="shared" ca="1" si="27"/>
        <v/>
      </c>
      <c r="H239" s="16" t="str">
        <f>IF(ISNUMBER(C239),IF(AND(RESULTS!$C$37&lt;=C239,C239&lt;=RESULTS!$D$37),E239,""),"")</f>
        <v/>
      </c>
      <c r="I239" s="16" t="str">
        <f t="shared" ca="1" si="28"/>
        <v/>
      </c>
      <c r="J239" s="16" t="str">
        <f>IF(ISNUMBER(C239),IF(AND(RESULTS!$C$38&lt;=C239,C239&lt;=RESULTS!$D$38),E239,""),"")</f>
        <v/>
      </c>
      <c r="K239" s="16" t="str">
        <f t="shared" ca="1" si="29"/>
        <v/>
      </c>
      <c r="L239" s="16" t="str">
        <f>IF(ISNUMBER(C239),IF(AND(RESULTS!$C$39&lt;=C239,C239&lt;=RESULTS!$D$39),E239,""),"")</f>
        <v/>
      </c>
      <c r="M239" s="16" t="str">
        <f t="shared" ca="1" si="30"/>
        <v/>
      </c>
      <c r="N239" s="16" t="str">
        <f>IF(ISNUMBER(C239),IF(AND(RESULTS!$C$40&lt;=C239,C239&lt;=RESULTS!$D$40),E239,""),"")</f>
        <v/>
      </c>
      <c r="O239" s="16" t="str">
        <f t="shared" ca="1" si="31"/>
        <v/>
      </c>
    </row>
    <row r="240" spans="1:15" x14ac:dyDescent="0.25">
      <c r="A240" s="14">
        <v>119</v>
      </c>
      <c r="B240" s="14">
        <v>4</v>
      </c>
      <c r="C240" s="58">
        <f t="shared" si="24"/>
        <v>119</v>
      </c>
      <c r="D240" s="58">
        <f t="shared" si="25"/>
        <v>4</v>
      </c>
      <c r="E240" s="15">
        <f t="shared" ca="1" si="26"/>
        <v>0.78048780487804859</v>
      </c>
      <c r="F240" s="16" t="str">
        <f>IF(ISNUMBER(C240),IF(AND(RESULTS!$C$36&lt;=C240,C240&lt;=RESULTS!$D$36),E240,""),"")</f>
        <v/>
      </c>
      <c r="G240" s="16" t="str">
        <f t="shared" ca="1" si="27"/>
        <v/>
      </c>
      <c r="H240" s="16" t="str">
        <f>IF(ISNUMBER(C240),IF(AND(RESULTS!$C$37&lt;=C240,C240&lt;=RESULTS!$D$37),E240,""),"")</f>
        <v/>
      </c>
      <c r="I240" s="16" t="str">
        <f t="shared" ca="1" si="28"/>
        <v/>
      </c>
      <c r="J240" s="16" t="str">
        <f>IF(ISNUMBER(C240),IF(AND(RESULTS!$C$38&lt;=C240,C240&lt;=RESULTS!$D$38),E240,""),"")</f>
        <v/>
      </c>
      <c r="K240" s="16" t="str">
        <f t="shared" ca="1" si="29"/>
        <v/>
      </c>
      <c r="L240" s="16" t="str">
        <f>IF(ISNUMBER(C240),IF(AND(RESULTS!$C$39&lt;=C240,C240&lt;=RESULTS!$D$39),E240,""),"")</f>
        <v/>
      </c>
      <c r="M240" s="16" t="str">
        <f t="shared" ca="1" si="30"/>
        <v/>
      </c>
      <c r="N240" s="16" t="str">
        <f>IF(ISNUMBER(C240),IF(AND(RESULTS!$C$40&lt;=C240,C240&lt;=RESULTS!$D$40),E240,""),"")</f>
        <v/>
      </c>
      <c r="O240" s="16" t="str">
        <f t="shared" ca="1" si="31"/>
        <v/>
      </c>
    </row>
    <row r="241" spans="1:15" x14ac:dyDescent="0.25">
      <c r="A241" s="14">
        <v>119.5</v>
      </c>
      <c r="B241" s="14">
        <v>3</v>
      </c>
      <c r="C241" s="58">
        <f t="shared" si="24"/>
        <v>119.5</v>
      </c>
      <c r="D241" s="58">
        <f t="shared" si="25"/>
        <v>3</v>
      </c>
      <c r="E241" s="15">
        <f t="shared" ca="1" si="26"/>
        <v>0</v>
      </c>
      <c r="F241" s="16" t="str">
        <f>IF(ISNUMBER(C241),IF(AND(RESULTS!$C$36&lt;=C241,C241&lt;=RESULTS!$D$36),E241,""),"")</f>
        <v/>
      </c>
      <c r="G241" s="16" t="str">
        <f t="shared" ca="1" si="27"/>
        <v/>
      </c>
      <c r="H241" s="16" t="str">
        <f>IF(ISNUMBER(C241),IF(AND(RESULTS!$C$37&lt;=C241,C241&lt;=RESULTS!$D$37),E241,""),"")</f>
        <v/>
      </c>
      <c r="I241" s="16" t="str">
        <f t="shared" ca="1" si="28"/>
        <v/>
      </c>
      <c r="J241" s="16" t="str">
        <f>IF(ISNUMBER(C241),IF(AND(RESULTS!$C$38&lt;=C241,C241&lt;=RESULTS!$D$38),E241,""),"")</f>
        <v/>
      </c>
      <c r="K241" s="16" t="str">
        <f t="shared" ca="1" si="29"/>
        <v/>
      </c>
      <c r="L241" s="16" t="str">
        <f>IF(ISNUMBER(C241),IF(AND(RESULTS!$C$39&lt;=C241,C241&lt;=RESULTS!$D$39),E241,""),"")</f>
        <v/>
      </c>
      <c r="M241" s="16" t="str">
        <f t="shared" ca="1" si="30"/>
        <v/>
      </c>
      <c r="N241" s="16" t="str">
        <f>IF(ISNUMBER(C241),IF(AND(RESULTS!$C$40&lt;=C241,C241&lt;=RESULTS!$D$40),E241,""),"")</f>
        <v/>
      </c>
      <c r="O241" s="16" t="str">
        <f t="shared" ca="1" si="31"/>
        <v/>
      </c>
    </row>
    <row r="242" spans="1:15" x14ac:dyDescent="0.25">
      <c r="A242" s="14">
        <v>120</v>
      </c>
      <c r="B242" s="14">
        <v>1</v>
      </c>
      <c r="C242" s="58">
        <f t="shared" si="24"/>
        <v>120</v>
      </c>
      <c r="D242" s="58">
        <f t="shared" si="25"/>
        <v>1</v>
      </c>
      <c r="E242" s="15">
        <f t="shared" ca="1" si="26"/>
        <v>0</v>
      </c>
      <c r="F242" s="16" t="str">
        <f>IF(ISNUMBER(C242),IF(AND(RESULTS!$C$36&lt;=C242,C242&lt;=RESULTS!$D$36),E242,""),"")</f>
        <v/>
      </c>
      <c r="G242" s="16" t="str">
        <f t="shared" ca="1" si="27"/>
        <v/>
      </c>
      <c r="H242" s="16" t="str">
        <f>IF(ISNUMBER(C242),IF(AND(RESULTS!$C$37&lt;=C242,C242&lt;=RESULTS!$D$37),E242,""),"")</f>
        <v/>
      </c>
      <c r="I242" s="16" t="str">
        <f t="shared" ca="1" si="28"/>
        <v/>
      </c>
      <c r="J242" s="16" t="str">
        <f>IF(ISNUMBER(C242),IF(AND(RESULTS!$C$38&lt;=C242,C242&lt;=RESULTS!$D$38),E242,""),"")</f>
        <v/>
      </c>
      <c r="K242" s="16" t="str">
        <f t="shared" ca="1" si="29"/>
        <v/>
      </c>
      <c r="L242" s="16" t="str">
        <f>IF(ISNUMBER(C242),IF(AND(RESULTS!$C$39&lt;=C242,C242&lt;=RESULTS!$D$39),E242,""),"")</f>
        <v/>
      </c>
      <c r="M242" s="16" t="str">
        <f t="shared" ca="1" si="30"/>
        <v/>
      </c>
      <c r="N242" s="16" t="str">
        <f>IF(ISNUMBER(C242),IF(AND(RESULTS!$C$40&lt;=C242,C242&lt;=RESULTS!$D$40),E242,""),"")</f>
        <v/>
      </c>
      <c r="O242" s="16" t="str">
        <f t="shared" ca="1" si="31"/>
        <v/>
      </c>
    </row>
    <row r="243" spans="1:15" x14ac:dyDescent="0.25">
      <c r="A243" s="14" t="s">
        <v>18</v>
      </c>
      <c r="B243" s="14" t="s">
        <v>45</v>
      </c>
      <c r="C243" s="58" t="e">
        <f t="shared" si="24"/>
        <v>#N/A</v>
      </c>
      <c r="D243" s="58" t="e">
        <f t="shared" si="25"/>
        <v>#N/A</v>
      </c>
      <c r="E243" s="15" t="str">
        <f t="shared" si="26"/>
        <v/>
      </c>
      <c r="F243" s="16" t="str">
        <f>IF(ISNUMBER(C243),IF(AND(RESULTS!$C$36&lt;=C243,C243&lt;=RESULTS!$D$36),E243,""),"")</f>
        <v/>
      </c>
      <c r="G243" s="16" t="str">
        <f t="shared" ca="1" si="27"/>
        <v/>
      </c>
      <c r="H243" s="16" t="str">
        <f>IF(ISNUMBER(C243),IF(AND(RESULTS!$C$37&lt;=C243,C243&lt;=RESULTS!$D$37),E243,""),"")</f>
        <v/>
      </c>
      <c r="I243" s="16" t="str">
        <f t="shared" ca="1" si="28"/>
        <v/>
      </c>
      <c r="J243" s="16" t="str">
        <f>IF(ISNUMBER(C243),IF(AND(RESULTS!$C$38&lt;=C243,C243&lt;=RESULTS!$D$38),E243,""),"")</f>
        <v/>
      </c>
      <c r="K243" s="16" t="str">
        <f t="shared" ca="1" si="29"/>
        <v/>
      </c>
      <c r="L243" s="16" t="str">
        <f>IF(ISNUMBER(C243),IF(AND(RESULTS!$C$39&lt;=C243,C243&lt;=RESULTS!$D$39),E243,""),"")</f>
        <v/>
      </c>
      <c r="M243" s="16" t="str">
        <f t="shared" ca="1" si="30"/>
        <v/>
      </c>
      <c r="N243" s="16" t="str">
        <f>IF(ISNUMBER(C243),IF(AND(RESULTS!$C$40&lt;=C243,C243&lt;=RESULTS!$D$40),E243,""),"")</f>
        <v/>
      </c>
      <c r="O243" s="16" t="str">
        <f t="shared" ca="1" si="31"/>
        <v/>
      </c>
    </row>
    <row r="244" spans="1:15" x14ac:dyDescent="0.25">
      <c r="A244" s="14" t="s">
        <v>22</v>
      </c>
      <c r="B244" s="14" t="s">
        <v>46</v>
      </c>
      <c r="C244" s="58" t="e">
        <f t="shared" si="24"/>
        <v>#N/A</v>
      </c>
      <c r="D244" s="58" t="e">
        <f t="shared" si="25"/>
        <v>#N/A</v>
      </c>
      <c r="E244" s="15" t="str">
        <f t="shared" si="26"/>
        <v/>
      </c>
      <c r="F244" s="16" t="str">
        <f>IF(ISNUMBER(C244),IF(AND(RESULTS!$C$36&lt;=C244,C244&lt;=RESULTS!$D$36),E244,""),"")</f>
        <v/>
      </c>
      <c r="G244" s="16" t="str">
        <f t="shared" ca="1" si="27"/>
        <v/>
      </c>
      <c r="H244" s="16" t="str">
        <f>IF(ISNUMBER(C244),IF(AND(RESULTS!$C$37&lt;=C244,C244&lt;=RESULTS!$D$37),E244,""),"")</f>
        <v/>
      </c>
      <c r="I244" s="16" t="str">
        <f t="shared" ca="1" si="28"/>
        <v/>
      </c>
      <c r="J244" s="16" t="str">
        <f>IF(ISNUMBER(C244),IF(AND(RESULTS!$C$38&lt;=C244,C244&lt;=RESULTS!$D$38),E244,""),"")</f>
        <v/>
      </c>
      <c r="K244" s="16" t="str">
        <f t="shared" ca="1" si="29"/>
        <v/>
      </c>
      <c r="L244" s="16" t="str">
        <f>IF(ISNUMBER(C244),IF(AND(RESULTS!$C$39&lt;=C244,C244&lt;=RESULTS!$D$39),E244,""),"")</f>
        <v/>
      </c>
      <c r="M244" s="16" t="str">
        <f t="shared" ca="1" si="30"/>
        <v/>
      </c>
      <c r="N244" s="16" t="str">
        <f>IF(ISNUMBER(C244),IF(AND(RESULTS!$C$40&lt;=C244,C244&lt;=RESULTS!$D$40),E244,""),"")</f>
        <v/>
      </c>
      <c r="O244" s="16" t="str">
        <f t="shared" ca="1" si="31"/>
        <v/>
      </c>
    </row>
    <row r="245" spans="1:15" x14ac:dyDescent="0.25">
      <c r="A245" s="14" t="s">
        <v>19</v>
      </c>
      <c r="B245" s="14" t="s">
        <v>16</v>
      </c>
      <c r="C245" s="58" t="e">
        <f t="shared" si="24"/>
        <v>#N/A</v>
      </c>
      <c r="D245" s="58" t="e">
        <f t="shared" si="25"/>
        <v>#N/A</v>
      </c>
      <c r="E245" s="15" t="str">
        <f t="shared" si="26"/>
        <v/>
      </c>
      <c r="F245" s="16" t="str">
        <f>IF(ISNUMBER(C245),IF(AND(RESULTS!$C$36&lt;=C245,C245&lt;=RESULTS!$D$36),E245,""),"")</f>
        <v/>
      </c>
      <c r="G245" s="16" t="str">
        <f t="shared" ca="1" si="27"/>
        <v/>
      </c>
      <c r="H245" s="16" t="str">
        <f>IF(ISNUMBER(C245),IF(AND(RESULTS!$C$37&lt;=C245,C245&lt;=RESULTS!$D$37),E245,""),"")</f>
        <v/>
      </c>
      <c r="I245" s="16" t="str">
        <f t="shared" ca="1" si="28"/>
        <v/>
      </c>
      <c r="J245" s="16" t="str">
        <f>IF(ISNUMBER(C245),IF(AND(RESULTS!$C$38&lt;=C245,C245&lt;=RESULTS!$D$38),E245,""),"")</f>
        <v/>
      </c>
      <c r="K245" s="16" t="str">
        <f t="shared" ca="1" si="29"/>
        <v/>
      </c>
      <c r="L245" s="16" t="str">
        <f>IF(ISNUMBER(C245),IF(AND(RESULTS!$C$39&lt;=C245,C245&lt;=RESULTS!$D$39),E245,""),"")</f>
        <v/>
      </c>
      <c r="M245" s="16" t="str">
        <f t="shared" ca="1" si="30"/>
        <v/>
      </c>
      <c r="N245" s="16" t="str">
        <f>IF(ISNUMBER(C245),IF(AND(RESULTS!$C$40&lt;=C245,C245&lt;=RESULTS!$D$40),E245,""),"")</f>
        <v/>
      </c>
      <c r="O245" s="16" t="str">
        <f t="shared" ca="1" si="31"/>
        <v/>
      </c>
    </row>
    <row r="246" spans="1:15" x14ac:dyDescent="0.25">
      <c r="A246" s="14" t="s">
        <v>20</v>
      </c>
      <c r="B246" s="14" t="s">
        <v>47</v>
      </c>
      <c r="C246" s="58" t="e">
        <f t="shared" si="24"/>
        <v>#N/A</v>
      </c>
      <c r="D246" s="58" t="e">
        <f t="shared" si="25"/>
        <v>#N/A</v>
      </c>
      <c r="E246" s="15" t="str">
        <f t="shared" si="26"/>
        <v/>
      </c>
      <c r="F246" s="16" t="str">
        <f>IF(ISNUMBER(C246),IF(AND(RESULTS!$C$36&lt;=C246,C246&lt;=RESULTS!$D$36),E246,""),"")</f>
        <v/>
      </c>
      <c r="G246" s="16" t="str">
        <f t="shared" ca="1" si="27"/>
        <v/>
      </c>
      <c r="H246" s="16" t="str">
        <f>IF(ISNUMBER(C246),IF(AND(RESULTS!$C$37&lt;=C246,C246&lt;=RESULTS!$D$37),E246,""),"")</f>
        <v/>
      </c>
      <c r="I246" s="16" t="str">
        <f t="shared" ca="1" si="28"/>
        <v/>
      </c>
      <c r="J246" s="16" t="str">
        <f>IF(ISNUMBER(C246),IF(AND(RESULTS!$C$38&lt;=C246,C246&lt;=RESULTS!$D$38),E246,""),"")</f>
        <v/>
      </c>
      <c r="K246" s="16" t="str">
        <f t="shared" ca="1" si="29"/>
        <v/>
      </c>
      <c r="L246" s="16" t="str">
        <f>IF(ISNUMBER(C246),IF(AND(RESULTS!$C$39&lt;=C246,C246&lt;=RESULTS!$D$39),E246,""),"")</f>
        <v/>
      </c>
      <c r="M246" s="16" t="str">
        <f t="shared" ca="1" si="30"/>
        <v/>
      </c>
      <c r="N246" s="16" t="str">
        <f>IF(ISNUMBER(C246),IF(AND(RESULTS!$C$40&lt;=C246,C246&lt;=RESULTS!$D$40),E246,""),"")</f>
        <v/>
      </c>
      <c r="O246" s="16" t="str">
        <f t="shared" ca="1" si="31"/>
        <v/>
      </c>
    </row>
    <row r="247" spans="1:15" x14ac:dyDescent="0.25">
      <c r="A247" s="14" t="s">
        <v>21</v>
      </c>
      <c r="B247" t="s">
        <v>49</v>
      </c>
      <c r="C247" s="58" t="e">
        <f t="shared" si="24"/>
        <v>#N/A</v>
      </c>
    </row>
    <row r="248" spans="1:15" x14ac:dyDescent="0.25">
      <c r="A248" s="14" t="s">
        <v>23</v>
      </c>
      <c r="B248" s="103" t="s">
        <v>48</v>
      </c>
    </row>
    <row r="249" spans="1:15" x14ac:dyDescent="0.25">
      <c r="B249" s="103"/>
      <c r="C249" s="58" t="e">
        <f t="shared" ref="C249:C274" si="32">IF(ISNUMBER(A289),A289,NA())</f>
        <v>#N/A</v>
      </c>
      <c r="D249" s="58" t="e">
        <f t="shared" ref="D249:D274" si="33">IF(ISNUMBER(B289),B289,NA())</f>
        <v>#N/A</v>
      </c>
      <c r="E249" s="15" t="str">
        <f t="shared" ref="E249:E266" si="34">IF(ISNUMBER(C249),IF($R$2&gt;D249,0,D249-$R$2),"")</f>
        <v/>
      </c>
      <c r="F249" s="16" t="str">
        <f>IF(ISNUMBER(C249),IF(AND(RESULTS!$C$36&lt;=C249,C249&lt;=RESULTS!$D$36),E249,""),"")</f>
        <v/>
      </c>
      <c r="G249" s="16" t="str">
        <f t="shared" ref="G249:G258" ca="1" si="35">IF(AND(F249&lt;&gt;"",F249&gt;=MAX(F:F)/2),C249,"")</f>
        <v/>
      </c>
      <c r="H249" s="16" t="str">
        <f>IF(ISNUMBER(C249),IF(AND(RESULTS!$C$37&lt;=C249,C249&lt;=RESULTS!$D$37),E249,""),"")</f>
        <v/>
      </c>
      <c r="I249" s="16" t="str">
        <f t="shared" ref="I249:I258" ca="1" si="36">IF(AND(H249&lt;&gt;"",H249&gt;=MAX(H:H)/2),C249,"")</f>
        <v/>
      </c>
      <c r="J249" s="16" t="str">
        <f>IF(ISNUMBER(C249),IF(AND(RESULTS!$C$38&lt;=C249,C249&lt;=RESULTS!$D$38),E249,""),"")</f>
        <v/>
      </c>
      <c r="K249" s="16" t="str">
        <f t="shared" ref="K249:K258" ca="1" si="37">IF(AND(J249&lt;&gt;"",J249&gt;=MAX(J:J)/2),C249,"")</f>
        <v/>
      </c>
      <c r="L249" s="16" t="str">
        <f>IF(ISNUMBER(C249),IF(AND(RESULTS!$C$39&lt;=C249,C249&lt;=RESULTS!$D$39),E249,""),"")</f>
        <v/>
      </c>
      <c r="M249" s="16" t="str">
        <f t="shared" ref="M249:M258" ca="1" si="38">IF(AND(L249&lt;&gt;"",L249&gt;=MAX(L:L)/2),C249,"")</f>
        <v/>
      </c>
      <c r="N249" s="16" t="str">
        <f>IF(ISNUMBER(C249),IF(AND(RESULTS!$C$40&lt;=C249,C249&lt;=RESULTS!$D$40),E249,""),"")</f>
        <v/>
      </c>
      <c r="O249" s="16" t="str">
        <f t="shared" ref="O249:O258" ca="1" si="39">IF(AND(N249&lt;&gt;"",N249&gt;=MAX(N:N)/2),C249,"")</f>
        <v/>
      </c>
    </row>
    <row r="250" spans="1:15" x14ac:dyDescent="0.25">
      <c r="C250" s="58" t="e">
        <f t="shared" si="32"/>
        <v>#N/A</v>
      </c>
      <c r="D250" s="58" t="e">
        <f t="shared" si="33"/>
        <v>#N/A</v>
      </c>
      <c r="E250" s="15" t="str">
        <f t="shared" si="34"/>
        <v/>
      </c>
      <c r="F250" s="16" t="str">
        <f>IF(ISNUMBER(C250),IF(AND(RESULTS!$C$36&lt;=C250,C250&lt;=RESULTS!$D$36),E250,""),"")</f>
        <v/>
      </c>
      <c r="G250" s="16" t="str">
        <f t="shared" ca="1" si="35"/>
        <v/>
      </c>
      <c r="H250" s="16" t="str">
        <f>IF(ISNUMBER(C250),IF(AND(RESULTS!$C$37&lt;=C250,C250&lt;=RESULTS!$D$37),E250,""),"")</f>
        <v/>
      </c>
      <c r="I250" s="16" t="str">
        <f t="shared" ca="1" si="36"/>
        <v/>
      </c>
      <c r="J250" s="16" t="str">
        <f>IF(ISNUMBER(C250),IF(AND(RESULTS!$C$38&lt;=C250,C250&lt;=RESULTS!$D$38),E250,""),"")</f>
        <v/>
      </c>
      <c r="K250" s="16" t="str">
        <f t="shared" ca="1" si="37"/>
        <v/>
      </c>
      <c r="L250" s="16" t="str">
        <f>IF(ISNUMBER(C250),IF(AND(RESULTS!$C$39&lt;=C250,C250&lt;=RESULTS!$D$39),E250,""),"")</f>
        <v/>
      </c>
      <c r="M250" s="16" t="str">
        <f t="shared" ca="1" si="38"/>
        <v/>
      </c>
      <c r="N250" s="16" t="str">
        <f>IF(ISNUMBER(C250),IF(AND(RESULTS!$C$40&lt;=C250,C250&lt;=RESULTS!$D$40),E250,""),"")</f>
        <v/>
      </c>
      <c r="O250" s="16" t="str">
        <f t="shared" ca="1" si="39"/>
        <v/>
      </c>
    </row>
    <row r="251" spans="1:15" x14ac:dyDescent="0.25">
      <c r="C251" s="58" t="e">
        <f t="shared" si="32"/>
        <v>#N/A</v>
      </c>
      <c r="D251" s="58" t="e">
        <f t="shared" si="33"/>
        <v>#N/A</v>
      </c>
      <c r="E251" s="15" t="str">
        <f t="shared" si="34"/>
        <v/>
      </c>
      <c r="F251" s="16" t="str">
        <f>IF(ISNUMBER(C251),IF(AND(RESULTS!$C$36&lt;=C251,C251&lt;=RESULTS!$D$36),E251,""),"")</f>
        <v/>
      </c>
      <c r="G251" s="16" t="str">
        <f t="shared" ca="1" si="35"/>
        <v/>
      </c>
      <c r="H251" s="16" t="str">
        <f>IF(ISNUMBER(C251),IF(AND(RESULTS!$C$37&lt;=C251,C251&lt;=RESULTS!$D$37),E251,""),"")</f>
        <v/>
      </c>
      <c r="I251" s="16" t="str">
        <f t="shared" ca="1" si="36"/>
        <v/>
      </c>
      <c r="J251" s="16" t="str">
        <f>IF(ISNUMBER(C251),IF(AND(RESULTS!$C$38&lt;=C251,C251&lt;=RESULTS!$D$38),E251,""),"")</f>
        <v/>
      </c>
      <c r="K251" s="16" t="str">
        <f t="shared" ca="1" si="37"/>
        <v/>
      </c>
      <c r="L251" s="16" t="str">
        <f>IF(ISNUMBER(C251),IF(AND(RESULTS!$C$39&lt;=C251,C251&lt;=RESULTS!$D$39),E251,""),"")</f>
        <v/>
      </c>
      <c r="M251" s="16" t="str">
        <f t="shared" ca="1" si="38"/>
        <v/>
      </c>
      <c r="N251" s="16" t="str">
        <f>IF(ISNUMBER(C251),IF(AND(RESULTS!$C$40&lt;=C251,C251&lt;=RESULTS!$D$40),E251,""),"")</f>
        <v/>
      </c>
      <c r="O251" s="16" t="str">
        <f t="shared" ca="1" si="39"/>
        <v/>
      </c>
    </row>
    <row r="252" spans="1:15" x14ac:dyDescent="0.25">
      <c r="C252" s="58" t="e">
        <f t="shared" si="32"/>
        <v>#N/A</v>
      </c>
      <c r="D252" s="58" t="e">
        <f t="shared" si="33"/>
        <v>#N/A</v>
      </c>
      <c r="E252" s="15" t="str">
        <f t="shared" si="34"/>
        <v/>
      </c>
      <c r="F252" s="16" t="str">
        <f>IF(ISNUMBER(C252),IF(AND(RESULTS!$C$36&lt;=C252,C252&lt;=RESULTS!$D$36),E252,""),"")</f>
        <v/>
      </c>
      <c r="G252" s="16" t="str">
        <f t="shared" ca="1" si="35"/>
        <v/>
      </c>
      <c r="H252" s="16" t="str">
        <f>IF(ISNUMBER(C252),IF(AND(RESULTS!$C$37&lt;=C252,C252&lt;=RESULTS!$D$37),E252,""),"")</f>
        <v/>
      </c>
      <c r="I252" s="16" t="str">
        <f t="shared" ca="1" si="36"/>
        <v/>
      </c>
      <c r="J252" s="16" t="str">
        <f>IF(ISNUMBER(C252),IF(AND(RESULTS!$C$38&lt;=C252,C252&lt;=RESULTS!$D$38),E252,""),"")</f>
        <v/>
      </c>
      <c r="K252" s="16" t="str">
        <f t="shared" ca="1" si="37"/>
        <v/>
      </c>
      <c r="L252" s="16" t="str">
        <f>IF(ISNUMBER(C252),IF(AND(RESULTS!$C$39&lt;=C252,C252&lt;=RESULTS!$D$39),E252,""),"")</f>
        <v/>
      </c>
      <c r="M252" s="16" t="str">
        <f t="shared" ca="1" si="38"/>
        <v/>
      </c>
      <c r="N252" s="16" t="str">
        <f>IF(ISNUMBER(C252),IF(AND(RESULTS!$C$40&lt;=C252,C252&lt;=RESULTS!$D$40),E252,""),"")</f>
        <v/>
      </c>
      <c r="O252" s="16" t="str">
        <f t="shared" ca="1" si="39"/>
        <v/>
      </c>
    </row>
    <row r="253" spans="1:15" x14ac:dyDescent="0.25">
      <c r="C253" s="58" t="e">
        <f t="shared" si="32"/>
        <v>#N/A</v>
      </c>
      <c r="D253" s="58" t="e">
        <f t="shared" si="33"/>
        <v>#N/A</v>
      </c>
      <c r="E253" s="15" t="str">
        <f t="shared" si="34"/>
        <v/>
      </c>
      <c r="F253" s="16" t="str">
        <f>IF(ISNUMBER(C253),IF(AND(RESULTS!$C$36&lt;=C253,C253&lt;=RESULTS!$D$36),E253,""),"")</f>
        <v/>
      </c>
      <c r="G253" s="16" t="str">
        <f t="shared" ca="1" si="35"/>
        <v/>
      </c>
      <c r="H253" s="16" t="str">
        <f>IF(ISNUMBER(C253),IF(AND(RESULTS!$C$37&lt;=C253,C253&lt;=RESULTS!$D$37),E253,""),"")</f>
        <v/>
      </c>
      <c r="I253" s="16" t="str">
        <f t="shared" ca="1" si="36"/>
        <v/>
      </c>
      <c r="J253" s="16" t="str">
        <f>IF(ISNUMBER(C253),IF(AND(RESULTS!$C$38&lt;=C253,C253&lt;=RESULTS!$D$38),E253,""),"")</f>
        <v/>
      </c>
      <c r="K253" s="16" t="str">
        <f t="shared" ca="1" si="37"/>
        <v/>
      </c>
      <c r="L253" s="16" t="str">
        <f>IF(ISNUMBER(C253),IF(AND(RESULTS!$C$39&lt;=C253,C253&lt;=RESULTS!$D$39),E253,""),"")</f>
        <v/>
      </c>
      <c r="M253" s="16" t="str">
        <f t="shared" ca="1" si="38"/>
        <v/>
      </c>
      <c r="N253" s="16" t="str">
        <f>IF(ISNUMBER(C253),IF(AND(RESULTS!$C$40&lt;=C253,C253&lt;=RESULTS!$D$40),E253,""),"")</f>
        <v/>
      </c>
      <c r="O253" s="16" t="str">
        <f t="shared" ca="1" si="39"/>
        <v/>
      </c>
    </row>
    <row r="254" spans="1:15" x14ac:dyDescent="0.25">
      <c r="C254" s="58" t="e">
        <f t="shared" si="32"/>
        <v>#N/A</v>
      </c>
      <c r="D254" s="58" t="e">
        <f t="shared" si="33"/>
        <v>#N/A</v>
      </c>
      <c r="E254" s="15" t="str">
        <f t="shared" si="34"/>
        <v/>
      </c>
      <c r="F254" s="16" t="str">
        <f>IF(ISNUMBER(C254),IF(AND(RESULTS!$C$36&lt;=C254,C254&lt;=RESULTS!$D$36),E254,""),"")</f>
        <v/>
      </c>
      <c r="G254" s="16" t="str">
        <f t="shared" ca="1" si="35"/>
        <v/>
      </c>
      <c r="H254" s="16" t="str">
        <f>IF(ISNUMBER(C254),IF(AND(RESULTS!$C$37&lt;=C254,C254&lt;=RESULTS!$D$37),E254,""),"")</f>
        <v/>
      </c>
      <c r="I254" s="16" t="str">
        <f t="shared" ca="1" si="36"/>
        <v/>
      </c>
      <c r="J254" s="16" t="str">
        <f>IF(ISNUMBER(C254),IF(AND(RESULTS!$C$38&lt;=C254,C254&lt;=RESULTS!$D$38),E254,""),"")</f>
        <v/>
      </c>
      <c r="K254" s="16" t="str">
        <f t="shared" ca="1" si="37"/>
        <v/>
      </c>
      <c r="L254" s="16" t="str">
        <f>IF(ISNUMBER(C254),IF(AND(RESULTS!$C$39&lt;=C254,C254&lt;=RESULTS!$D$39),E254,""),"")</f>
        <v/>
      </c>
      <c r="M254" s="16" t="str">
        <f t="shared" ca="1" si="38"/>
        <v/>
      </c>
      <c r="N254" s="16" t="str">
        <f>IF(ISNUMBER(C254),IF(AND(RESULTS!$C$40&lt;=C254,C254&lt;=RESULTS!$D$40),E254,""),"")</f>
        <v/>
      </c>
      <c r="O254" s="16" t="str">
        <f t="shared" ca="1" si="39"/>
        <v/>
      </c>
    </row>
    <row r="255" spans="1:15" x14ac:dyDescent="0.25">
      <c r="C255" s="58" t="e">
        <f t="shared" si="32"/>
        <v>#N/A</v>
      </c>
      <c r="D255" s="58" t="e">
        <f t="shared" si="33"/>
        <v>#N/A</v>
      </c>
      <c r="E255" s="15" t="str">
        <f t="shared" si="34"/>
        <v/>
      </c>
      <c r="F255" s="16" t="str">
        <f>IF(ISNUMBER(C255),IF(AND(RESULTS!$C$36&lt;=C255,C255&lt;=RESULTS!$D$36),E255,""),"")</f>
        <v/>
      </c>
      <c r="G255" s="16" t="str">
        <f t="shared" ca="1" si="35"/>
        <v/>
      </c>
      <c r="H255" s="16" t="str">
        <f>IF(ISNUMBER(C255),IF(AND(RESULTS!$C$37&lt;=C255,C255&lt;=RESULTS!$D$37),E255,""),"")</f>
        <v/>
      </c>
      <c r="I255" s="16" t="str">
        <f t="shared" ca="1" si="36"/>
        <v/>
      </c>
      <c r="J255" s="16" t="str">
        <f>IF(ISNUMBER(C255),IF(AND(RESULTS!$C$38&lt;=C255,C255&lt;=RESULTS!$D$38),E255,""),"")</f>
        <v/>
      </c>
      <c r="K255" s="16" t="str">
        <f t="shared" ca="1" si="37"/>
        <v/>
      </c>
      <c r="L255" s="16" t="str">
        <f>IF(ISNUMBER(C255),IF(AND(RESULTS!$C$39&lt;=C255,C255&lt;=RESULTS!$D$39),E255,""),"")</f>
        <v/>
      </c>
      <c r="M255" s="16" t="str">
        <f t="shared" ca="1" si="38"/>
        <v/>
      </c>
      <c r="N255" s="16" t="str">
        <f>IF(ISNUMBER(C255),IF(AND(RESULTS!$C$40&lt;=C255,C255&lt;=RESULTS!$D$40),E255,""),"")</f>
        <v/>
      </c>
      <c r="O255" s="16" t="str">
        <f t="shared" ca="1" si="39"/>
        <v/>
      </c>
    </row>
    <row r="256" spans="1:15" x14ac:dyDescent="0.25">
      <c r="C256" s="58" t="e">
        <f t="shared" si="32"/>
        <v>#N/A</v>
      </c>
      <c r="D256" s="58" t="e">
        <f t="shared" si="33"/>
        <v>#N/A</v>
      </c>
      <c r="E256" s="15" t="str">
        <f t="shared" si="34"/>
        <v/>
      </c>
      <c r="F256" s="16" t="str">
        <f>IF(ISNUMBER(C256),IF(AND(RESULTS!$C$36&lt;=C256,C256&lt;=RESULTS!$D$36),E256,""),"")</f>
        <v/>
      </c>
      <c r="G256" s="16" t="str">
        <f t="shared" ca="1" si="35"/>
        <v/>
      </c>
      <c r="H256" s="16" t="str">
        <f>IF(ISNUMBER(C256),IF(AND(RESULTS!$C$37&lt;=C256,C256&lt;=RESULTS!$D$37),E256,""),"")</f>
        <v/>
      </c>
      <c r="I256" s="16" t="str">
        <f t="shared" ca="1" si="36"/>
        <v/>
      </c>
      <c r="J256" s="16" t="str">
        <f>IF(ISNUMBER(C256),IF(AND(RESULTS!$C$38&lt;=C256,C256&lt;=RESULTS!$D$38),E256,""),"")</f>
        <v/>
      </c>
      <c r="K256" s="16" t="str">
        <f t="shared" ca="1" si="37"/>
        <v/>
      </c>
      <c r="L256" s="16" t="str">
        <f>IF(ISNUMBER(C256),IF(AND(RESULTS!$C$39&lt;=C256,C256&lt;=RESULTS!$D$39),E256,""),"")</f>
        <v/>
      </c>
      <c r="M256" s="16" t="str">
        <f t="shared" ca="1" si="38"/>
        <v/>
      </c>
      <c r="N256" s="16" t="str">
        <f>IF(ISNUMBER(C256),IF(AND(RESULTS!$C$40&lt;=C256,C256&lt;=RESULTS!$D$40),E256,""),"")</f>
        <v/>
      </c>
      <c r="O256" s="16" t="str">
        <f t="shared" ca="1" si="39"/>
        <v/>
      </c>
    </row>
    <row r="257" spans="3:15" x14ac:dyDescent="0.25">
      <c r="C257" s="58" t="e">
        <f t="shared" si="32"/>
        <v>#N/A</v>
      </c>
      <c r="D257" s="58" t="e">
        <f t="shared" si="33"/>
        <v>#N/A</v>
      </c>
      <c r="E257" s="15" t="str">
        <f t="shared" si="34"/>
        <v/>
      </c>
      <c r="F257" s="16" t="str">
        <f>IF(ISNUMBER(C257),IF(AND(RESULTS!$C$36&lt;=C257,C257&lt;=RESULTS!$D$36),E257,""),"")</f>
        <v/>
      </c>
      <c r="G257" s="16" t="str">
        <f t="shared" ca="1" si="35"/>
        <v/>
      </c>
      <c r="H257" s="16" t="str">
        <f>IF(ISNUMBER(C257),IF(AND(RESULTS!$C$37&lt;=C257,C257&lt;=RESULTS!$D$37),E257,""),"")</f>
        <v/>
      </c>
      <c r="I257" s="16" t="str">
        <f t="shared" ca="1" si="36"/>
        <v/>
      </c>
      <c r="J257" s="16" t="str">
        <f>IF(ISNUMBER(C257),IF(AND(RESULTS!$C$38&lt;=C257,C257&lt;=RESULTS!$D$38),E257,""),"")</f>
        <v/>
      </c>
      <c r="K257" s="16" t="str">
        <f t="shared" ca="1" si="37"/>
        <v/>
      </c>
      <c r="L257" s="16" t="str">
        <f>IF(ISNUMBER(C257),IF(AND(RESULTS!$C$39&lt;=C257,C257&lt;=RESULTS!$D$39),E257,""),"")</f>
        <v/>
      </c>
      <c r="M257" s="16" t="str">
        <f t="shared" ca="1" si="38"/>
        <v/>
      </c>
      <c r="N257" s="16" t="str">
        <f>IF(ISNUMBER(C257),IF(AND(RESULTS!$C$40&lt;=C257,C257&lt;=RESULTS!$D$40),E257,""),"")</f>
        <v/>
      </c>
      <c r="O257" s="16" t="str">
        <f t="shared" ca="1" si="39"/>
        <v/>
      </c>
    </row>
    <row r="258" spans="3:15" x14ac:dyDescent="0.25">
      <c r="C258" s="58" t="e">
        <f t="shared" si="32"/>
        <v>#N/A</v>
      </c>
      <c r="D258" s="58" t="e">
        <f t="shared" si="33"/>
        <v>#N/A</v>
      </c>
      <c r="E258" s="15" t="str">
        <f t="shared" si="34"/>
        <v/>
      </c>
      <c r="F258" s="16" t="str">
        <f>IF(ISNUMBER(C258),IF(AND(RESULTS!$C$36&lt;=C258,C258&lt;=RESULTS!$D$36),E258,""),"")</f>
        <v/>
      </c>
      <c r="G258" s="16" t="str">
        <f t="shared" ca="1" si="35"/>
        <v/>
      </c>
      <c r="H258" s="16" t="str">
        <f>IF(ISNUMBER(C258),IF(AND(RESULTS!$C$37&lt;=C258,C258&lt;=RESULTS!$D$37),E258,""),"")</f>
        <v/>
      </c>
      <c r="I258" s="16" t="str">
        <f t="shared" ca="1" si="36"/>
        <v/>
      </c>
      <c r="J258" s="16" t="str">
        <f>IF(ISNUMBER(C258),IF(AND(RESULTS!$C$38&lt;=C258,C258&lt;=RESULTS!$D$38),E258,""),"")</f>
        <v/>
      </c>
      <c r="K258" s="16" t="str">
        <f t="shared" ca="1" si="37"/>
        <v/>
      </c>
      <c r="L258" s="16" t="str">
        <f>IF(ISNUMBER(C258),IF(AND(RESULTS!$C$39&lt;=C258,C258&lt;=RESULTS!$D$39),E258,""),"")</f>
        <v/>
      </c>
      <c r="M258" s="16" t="str">
        <f t="shared" ca="1" si="38"/>
        <v/>
      </c>
      <c r="N258" s="16" t="str">
        <f>IF(ISNUMBER(C258),IF(AND(RESULTS!$C$40&lt;=C258,C258&lt;=RESULTS!$D$40),E258,""),"")</f>
        <v/>
      </c>
      <c r="O258" s="16" t="str">
        <f t="shared" ca="1" si="39"/>
        <v/>
      </c>
    </row>
    <row r="259" spans="3:15" x14ac:dyDescent="0.25">
      <c r="C259" s="58" t="e">
        <f t="shared" si="32"/>
        <v>#N/A</v>
      </c>
      <c r="D259" s="58" t="e">
        <f t="shared" si="33"/>
        <v>#N/A</v>
      </c>
      <c r="E259" s="15" t="str">
        <f t="shared" si="34"/>
        <v/>
      </c>
      <c r="F259" s="16" t="str">
        <f>IF(ISNUMBER(C259),IF(AND(RESULTS!$C$36&lt;=C259,C259&lt;=RESULTS!$D$36),E259,""),"")</f>
        <v/>
      </c>
      <c r="G259" s="16" t="str">
        <f t="shared" ref="G259:G301" ca="1" si="40">IF(AND(F259&lt;&gt;"",F259&gt;=MAX(F:F)/2),C259,"")</f>
        <v/>
      </c>
      <c r="H259" s="16" t="str">
        <f>IF(ISNUMBER(C259),IF(AND(RESULTS!$C$37&lt;=C259,C259&lt;=RESULTS!$D$37),E259,""),"")</f>
        <v/>
      </c>
      <c r="I259" s="16" t="str">
        <f t="shared" ref="I259:I301" ca="1" si="41">IF(AND(H259&lt;&gt;"",H259&gt;=MAX(H:H)/2),C259,"")</f>
        <v/>
      </c>
      <c r="J259" s="16" t="str">
        <f>IF(ISNUMBER(C259),IF(AND(RESULTS!$C$38&lt;=C259,C259&lt;=RESULTS!$D$38),E259,""),"")</f>
        <v/>
      </c>
      <c r="K259" s="16" t="str">
        <f t="shared" ref="K259:K301" ca="1" si="42">IF(AND(J259&lt;&gt;"",J259&gt;=MAX(J:J)/2),C259,"")</f>
        <v/>
      </c>
      <c r="L259" s="16" t="str">
        <f>IF(ISNUMBER(C259),IF(AND(RESULTS!$C$39&lt;=C259,C259&lt;=RESULTS!$D$39),E259,""),"")</f>
        <v/>
      </c>
      <c r="M259" s="16" t="str">
        <f t="shared" ref="M259:M301" ca="1" si="43">IF(AND(L259&lt;&gt;"",L259&gt;=MAX(L:L)/2),C259,"")</f>
        <v/>
      </c>
      <c r="N259" s="16" t="str">
        <f>IF(ISNUMBER(C259),IF(AND(RESULTS!$C$40&lt;=C259,C259&lt;=RESULTS!$D$40),E259,""),"")</f>
        <v/>
      </c>
      <c r="O259" s="16" t="str">
        <f t="shared" ref="O259:O301" ca="1" si="44">IF(AND(N259&lt;&gt;"",N259&gt;=MAX(N:N)/2),C259,"")</f>
        <v/>
      </c>
    </row>
    <row r="260" spans="3:15" x14ac:dyDescent="0.25">
      <c r="C260" s="58" t="e">
        <f t="shared" si="32"/>
        <v>#N/A</v>
      </c>
      <c r="D260" s="58" t="e">
        <f t="shared" si="33"/>
        <v>#N/A</v>
      </c>
      <c r="E260" s="15" t="str">
        <f t="shared" si="34"/>
        <v/>
      </c>
      <c r="F260" s="16" t="str">
        <f>IF(ISNUMBER(C260),IF(AND(RESULTS!$C$36&lt;=C260,C260&lt;=RESULTS!$D$36),E260,""),"")</f>
        <v/>
      </c>
      <c r="G260" s="16" t="str">
        <f t="shared" ca="1" si="40"/>
        <v/>
      </c>
      <c r="H260" s="16" t="str">
        <f>IF(ISNUMBER(C260),IF(AND(RESULTS!$C$37&lt;=C260,C260&lt;=RESULTS!$D$37),E260,""),"")</f>
        <v/>
      </c>
      <c r="I260" s="16" t="str">
        <f t="shared" ca="1" si="41"/>
        <v/>
      </c>
      <c r="J260" s="16" t="str">
        <f>IF(ISNUMBER(C260),IF(AND(RESULTS!$C$38&lt;=C260,C260&lt;=RESULTS!$D$38),E260,""),"")</f>
        <v/>
      </c>
      <c r="K260" s="16" t="str">
        <f t="shared" ca="1" si="42"/>
        <v/>
      </c>
      <c r="L260" s="16" t="str">
        <f>IF(ISNUMBER(C260),IF(AND(RESULTS!$C$39&lt;=C260,C260&lt;=RESULTS!$D$39),E260,""),"")</f>
        <v/>
      </c>
      <c r="M260" s="16" t="str">
        <f t="shared" ca="1" si="43"/>
        <v/>
      </c>
      <c r="N260" s="16" t="str">
        <f>IF(ISNUMBER(C260),IF(AND(RESULTS!$C$40&lt;=C260,C260&lt;=RESULTS!$D$40),E260,""),"")</f>
        <v/>
      </c>
      <c r="O260" s="16" t="str">
        <f t="shared" ca="1" si="44"/>
        <v/>
      </c>
    </row>
    <row r="261" spans="3:15" x14ac:dyDescent="0.25">
      <c r="C261" s="58" t="e">
        <f t="shared" si="32"/>
        <v>#N/A</v>
      </c>
      <c r="D261" s="58" t="e">
        <f t="shared" si="33"/>
        <v>#N/A</v>
      </c>
      <c r="E261" s="15" t="str">
        <f t="shared" si="34"/>
        <v/>
      </c>
      <c r="F261" s="16" t="str">
        <f>IF(ISNUMBER(C261),IF(AND(RESULTS!$C$36&lt;=C261,C261&lt;=RESULTS!$D$36),E261,""),"")</f>
        <v/>
      </c>
      <c r="G261" s="16" t="str">
        <f t="shared" ca="1" si="40"/>
        <v/>
      </c>
      <c r="H261" s="16" t="str">
        <f>IF(ISNUMBER(C261),IF(AND(RESULTS!$C$37&lt;=C261,C261&lt;=RESULTS!$D$37),E261,""),"")</f>
        <v/>
      </c>
      <c r="I261" s="16" t="str">
        <f t="shared" ca="1" si="41"/>
        <v/>
      </c>
      <c r="J261" s="16" t="str">
        <f>IF(ISNUMBER(C261),IF(AND(RESULTS!$C$38&lt;=C261,C261&lt;=RESULTS!$D$38),E261,""),"")</f>
        <v/>
      </c>
      <c r="K261" s="16" t="str">
        <f t="shared" ca="1" si="42"/>
        <v/>
      </c>
      <c r="L261" s="16" t="str">
        <f>IF(ISNUMBER(C261),IF(AND(RESULTS!$C$39&lt;=C261,C261&lt;=RESULTS!$D$39),E261,""),"")</f>
        <v/>
      </c>
      <c r="M261" s="16" t="str">
        <f t="shared" ca="1" si="43"/>
        <v/>
      </c>
      <c r="N261" s="16" t="str">
        <f>IF(ISNUMBER(C261),IF(AND(RESULTS!$C$40&lt;=C261,C261&lt;=RESULTS!$D$40),E261,""),"")</f>
        <v/>
      </c>
      <c r="O261" s="16" t="str">
        <f t="shared" ca="1" si="44"/>
        <v/>
      </c>
    </row>
    <row r="262" spans="3:15" x14ac:dyDescent="0.25">
      <c r="C262" s="58" t="e">
        <f t="shared" si="32"/>
        <v>#N/A</v>
      </c>
      <c r="D262" s="58" t="e">
        <f t="shared" si="33"/>
        <v>#N/A</v>
      </c>
      <c r="E262" s="15" t="str">
        <f t="shared" si="34"/>
        <v/>
      </c>
      <c r="F262" s="16" t="str">
        <f>IF(ISNUMBER(C262),IF(AND(RESULTS!$C$36&lt;=C262,C262&lt;=RESULTS!$D$36),E262,""),"")</f>
        <v/>
      </c>
      <c r="G262" s="16" t="str">
        <f t="shared" ca="1" si="40"/>
        <v/>
      </c>
      <c r="H262" s="16" t="str">
        <f>IF(ISNUMBER(C262),IF(AND(RESULTS!$C$37&lt;=C262,C262&lt;=RESULTS!$D$37),E262,""),"")</f>
        <v/>
      </c>
      <c r="I262" s="16" t="str">
        <f t="shared" ca="1" si="41"/>
        <v/>
      </c>
      <c r="J262" s="16" t="str">
        <f>IF(ISNUMBER(C262),IF(AND(RESULTS!$C$38&lt;=C262,C262&lt;=RESULTS!$D$38),E262,""),"")</f>
        <v/>
      </c>
      <c r="K262" s="16" t="str">
        <f t="shared" ca="1" si="42"/>
        <v/>
      </c>
      <c r="L262" s="16" t="str">
        <f>IF(ISNUMBER(C262),IF(AND(RESULTS!$C$39&lt;=C262,C262&lt;=RESULTS!$D$39),E262,""),"")</f>
        <v/>
      </c>
      <c r="M262" s="16" t="str">
        <f t="shared" ca="1" si="43"/>
        <v/>
      </c>
      <c r="N262" s="16" t="str">
        <f>IF(ISNUMBER(C262),IF(AND(RESULTS!$C$40&lt;=C262,C262&lt;=RESULTS!$D$40),E262,""),"")</f>
        <v/>
      </c>
      <c r="O262" s="16" t="str">
        <f t="shared" ca="1" si="44"/>
        <v/>
      </c>
    </row>
    <row r="263" spans="3:15" x14ac:dyDescent="0.25">
      <c r="C263" s="58" t="e">
        <f t="shared" si="32"/>
        <v>#N/A</v>
      </c>
      <c r="D263" s="58" t="e">
        <f t="shared" si="33"/>
        <v>#N/A</v>
      </c>
      <c r="E263" s="15" t="str">
        <f t="shared" si="34"/>
        <v/>
      </c>
      <c r="F263" s="16" t="str">
        <f>IF(ISNUMBER(C263),IF(AND(RESULTS!$C$36&lt;=C263,C263&lt;=RESULTS!$D$36),E263,""),"")</f>
        <v/>
      </c>
      <c r="G263" s="16" t="str">
        <f t="shared" ca="1" si="40"/>
        <v/>
      </c>
      <c r="H263" s="16" t="str">
        <f>IF(ISNUMBER(C263),IF(AND(RESULTS!$C$37&lt;=C263,C263&lt;=RESULTS!$D$37),E263,""),"")</f>
        <v/>
      </c>
      <c r="I263" s="16" t="str">
        <f t="shared" ca="1" si="41"/>
        <v/>
      </c>
      <c r="J263" s="16" t="str">
        <f>IF(ISNUMBER(C263),IF(AND(RESULTS!$C$38&lt;=C263,C263&lt;=RESULTS!$D$38),E263,""),"")</f>
        <v/>
      </c>
      <c r="K263" s="16" t="str">
        <f t="shared" ca="1" si="42"/>
        <v/>
      </c>
      <c r="L263" s="16" t="str">
        <f>IF(ISNUMBER(C263),IF(AND(RESULTS!$C$39&lt;=C263,C263&lt;=RESULTS!$D$39),E263,""),"")</f>
        <v/>
      </c>
      <c r="M263" s="16" t="str">
        <f t="shared" ca="1" si="43"/>
        <v/>
      </c>
      <c r="N263" s="16" t="str">
        <f>IF(ISNUMBER(C263),IF(AND(RESULTS!$C$40&lt;=C263,C263&lt;=RESULTS!$D$40),E263,""),"")</f>
        <v/>
      </c>
      <c r="O263" s="16" t="str">
        <f t="shared" ca="1" si="44"/>
        <v/>
      </c>
    </row>
    <row r="264" spans="3:15" x14ac:dyDescent="0.25">
      <c r="C264" s="58" t="e">
        <f t="shared" si="32"/>
        <v>#N/A</v>
      </c>
      <c r="D264" s="58" t="e">
        <f t="shared" si="33"/>
        <v>#N/A</v>
      </c>
      <c r="E264" s="15" t="str">
        <f t="shared" si="34"/>
        <v/>
      </c>
      <c r="F264" s="16" t="str">
        <f>IF(ISNUMBER(C264),IF(AND(RESULTS!$C$36&lt;=C264,C264&lt;=RESULTS!$D$36),E264,""),"")</f>
        <v/>
      </c>
      <c r="G264" s="16" t="str">
        <f t="shared" ca="1" si="40"/>
        <v/>
      </c>
      <c r="H264" s="16" t="str">
        <f>IF(ISNUMBER(C264),IF(AND(RESULTS!$C$37&lt;=C264,C264&lt;=RESULTS!$D$37),E264,""),"")</f>
        <v/>
      </c>
      <c r="I264" s="16" t="str">
        <f t="shared" ca="1" si="41"/>
        <v/>
      </c>
      <c r="J264" s="16" t="str">
        <f>IF(ISNUMBER(C264),IF(AND(RESULTS!$C$38&lt;=C264,C264&lt;=RESULTS!$D$38),E264,""),"")</f>
        <v/>
      </c>
      <c r="K264" s="16" t="str">
        <f t="shared" ca="1" si="42"/>
        <v/>
      </c>
      <c r="L264" s="16" t="str">
        <f>IF(ISNUMBER(C264),IF(AND(RESULTS!$C$39&lt;=C264,C264&lt;=RESULTS!$D$39),E264,""),"")</f>
        <v/>
      </c>
      <c r="M264" s="16" t="str">
        <f t="shared" ca="1" si="43"/>
        <v/>
      </c>
      <c r="N264" s="16" t="str">
        <f>IF(ISNUMBER(C264),IF(AND(RESULTS!$C$40&lt;=C264,C264&lt;=RESULTS!$D$40),E264,""),"")</f>
        <v/>
      </c>
      <c r="O264" s="16" t="str">
        <f t="shared" ca="1" si="44"/>
        <v/>
      </c>
    </row>
    <row r="265" spans="3:15" x14ac:dyDescent="0.25">
      <c r="C265" s="58" t="e">
        <f t="shared" si="32"/>
        <v>#N/A</v>
      </c>
      <c r="D265" s="58" t="e">
        <f t="shared" si="33"/>
        <v>#N/A</v>
      </c>
      <c r="E265" s="15" t="str">
        <f t="shared" si="34"/>
        <v/>
      </c>
      <c r="F265" s="16" t="str">
        <f>IF(ISNUMBER(C265),IF(AND(RESULTS!$C$36&lt;=C265,C265&lt;=RESULTS!$D$36),E265,""),"")</f>
        <v/>
      </c>
      <c r="G265" s="16" t="str">
        <f t="shared" ca="1" si="40"/>
        <v/>
      </c>
      <c r="H265" s="16" t="str">
        <f>IF(ISNUMBER(C265),IF(AND(RESULTS!$C$37&lt;=C265,C265&lt;=RESULTS!$D$37),E265,""),"")</f>
        <v/>
      </c>
      <c r="I265" s="16" t="str">
        <f t="shared" ca="1" si="41"/>
        <v/>
      </c>
      <c r="J265" s="16" t="str">
        <f>IF(ISNUMBER(C265),IF(AND(RESULTS!$C$38&lt;=C265,C265&lt;=RESULTS!$D$38),E265,""),"")</f>
        <v/>
      </c>
      <c r="K265" s="16" t="str">
        <f t="shared" ca="1" si="42"/>
        <v/>
      </c>
      <c r="L265" s="16" t="str">
        <f>IF(ISNUMBER(C265),IF(AND(RESULTS!$C$39&lt;=C265,C265&lt;=RESULTS!$D$39),E265,""),"")</f>
        <v/>
      </c>
      <c r="M265" s="16" t="str">
        <f t="shared" ca="1" si="43"/>
        <v/>
      </c>
      <c r="N265" s="16" t="str">
        <f>IF(ISNUMBER(C265),IF(AND(RESULTS!$C$40&lt;=C265,C265&lt;=RESULTS!$D$40),E265,""),"")</f>
        <v/>
      </c>
      <c r="O265" s="16" t="str">
        <f t="shared" ca="1" si="44"/>
        <v/>
      </c>
    </row>
    <row r="266" spans="3:15" x14ac:dyDescent="0.25">
      <c r="C266" s="58" t="e">
        <f t="shared" si="32"/>
        <v>#N/A</v>
      </c>
      <c r="D266" s="58" t="e">
        <f t="shared" si="33"/>
        <v>#N/A</v>
      </c>
      <c r="E266" s="15" t="str">
        <f t="shared" si="34"/>
        <v/>
      </c>
      <c r="F266" s="16" t="str">
        <f>IF(ISNUMBER(C266),IF(AND(RESULTS!$C$36&lt;=C266,C266&lt;=RESULTS!$D$36),E266,""),"")</f>
        <v/>
      </c>
      <c r="G266" s="16" t="str">
        <f t="shared" ca="1" si="40"/>
        <v/>
      </c>
      <c r="H266" s="16" t="str">
        <f>IF(ISNUMBER(C266),IF(AND(RESULTS!$C$37&lt;=C266,C266&lt;=RESULTS!$D$37),E266,""),"")</f>
        <v/>
      </c>
      <c r="I266" s="16" t="str">
        <f t="shared" ca="1" si="41"/>
        <v/>
      </c>
      <c r="J266" s="16" t="str">
        <f>IF(ISNUMBER(C266),IF(AND(RESULTS!$C$38&lt;=C266,C266&lt;=RESULTS!$D$38),E266,""),"")</f>
        <v/>
      </c>
      <c r="K266" s="16" t="str">
        <f t="shared" ca="1" si="42"/>
        <v/>
      </c>
      <c r="L266" s="16" t="str">
        <f>IF(ISNUMBER(C266),IF(AND(RESULTS!$C$39&lt;=C266,C266&lt;=RESULTS!$D$39),E266,""),"")</f>
        <v/>
      </c>
      <c r="M266" s="16" t="str">
        <f t="shared" ca="1" si="43"/>
        <v/>
      </c>
      <c r="N266" s="16" t="str">
        <f>IF(ISNUMBER(C266),IF(AND(RESULTS!$C$40&lt;=C266,C266&lt;=RESULTS!$D$40),E266,""),"")</f>
        <v/>
      </c>
      <c r="O266" s="16" t="str">
        <f t="shared" ca="1" si="44"/>
        <v/>
      </c>
    </row>
    <row r="267" spans="3:15" x14ac:dyDescent="0.25">
      <c r="C267" s="58" t="e">
        <f t="shared" si="32"/>
        <v>#N/A</v>
      </c>
      <c r="D267" s="58" t="e">
        <f t="shared" si="33"/>
        <v>#N/A</v>
      </c>
      <c r="E267" s="15" t="str">
        <f t="shared" ref="E267:E301" si="45">IF(ISNUMBER(C267),IF($R$2&gt;D267,0,D267-$R$2),"")</f>
        <v/>
      </c>
      <c r="F267" s="16" t="str">
        <f>IF(ISNUMBER(C267),IF(AND(RESULTS!$C$36&lt;=C267,C267&lt;=RESULTS!$D$36),E267,""),"")</f>
        <v/>
      </c>
      <c r="G267" s="16" t="str">
        <f t="shared" ca="1" si="40"/>
        <v/>
      </c>
      <c r="H267" s="16" t="str">
        <f>IF(ISNUMBER(C267),IF(AND(RESULTS!$C$37&lt;=C267,C267&lt;=RESULTS!$D$37),E267,""),"")</f>
        <v/>
      </c>
      <c r="I267" s="16" t="str">
        <f t="shared" ca="1" si="41"/>
        <v/>
      </c>
      <c r="J267" s="16" t="str">
        <f>IF(ISNUMBER(C267),IF(AND(RESULTS!$C$38&lt;=C267,C267&lt;=RESULTS!$D$38),E267,""),"")</f>
        <v/>
      </c>
      <c r="K267" s="16" t="str">
        <f t="shared" ca="1" si="42"/>
        <v/>
      </c>
      <c r="L267" s="16" t="str">
        <f>IF(ISNUMBER(C267),IF(AND(RESULTS!$C$39&lt;=C267,C267&lt;=RESULTS!$D$39),E267,""),"")</f>
        <v/>
      </c>
      <c r="M267" s="16" t="str">
        <f t="shared" ca="1" si="43"/>
        <v/>
      </c>
      <c r="N267" s="16" t="str">
        <f>IF(ISNUMBER(C267),IF(AND(RESULTS!$C$40&lt;=C267,C267&lt;=RESULTS!$D$40),E267,""),"")</f>
        <v/>
      </c>
      <c r="O267" s="16" t="str">
        <f t="shared" ca="1" si="44"/>
        <v/>
      </c>
    </row>
    <row r="268" spans="3:15" x14ac:dyDescent="0.25">
      <c r="C268" s="58" t="e">
        <f t="shared" si="32"/>
        <v>#N/A</v>
      </c>
      <c r="D268" s="58" t="e">
        <f t="shared" si="33"/>
        <v>#N/A</v>
      </c>
      <c r="E268" s="15" t="str">
        <f t="shared" si="45"/>
        <v/>
      </c>
      <c r="F268" s="16" t="str">
        <f>IF(ISNUMBER(C268),IF(AND(RESULTS!$C$36&lt;=C268,C268&lt;=RESULTS!$D$36),E268,""),"")</f>
        <v/>
      </c>
      <c r="G268" s="16" t="str">
        <f t="shared" ca="1" si="40"/>
        <v/>
      </c>
      <c r="H268" s="16" t="str">
        <f>IF(ISNUMBER(C268),IF(AND(RESULTS!$C$37&lt;=C268,C268&lt;=RESULTS!$D$37),E268,""),"")</f>
        <v/>
      </c>
      <c r="I268" s="16" t="str">
        <f t="shared" ca="1" si="41"/>
        <v/>
      </c>
      <c r="J268" s="16" t="str">
        <f>IF(ISNUMBER(C268),IF(AND(RESULTS!$C$38&lt;=C268,C268&lt;=RESULTS!$D$38),E268,""),"")</f>
        <v/>
      </c>
      <c r="K268" s="16" t="str">
        <f t="shared" ca="1" si="42"/>
        <v/>
      </c>
      <c r="L268" s="16" t="str">
        <f>IF(ISNUMBER(C268),IF(AND(RESULTS!$C$39&lt;=C268,C268&lt;=RESULTS!$D$39),E268,""),"")</f>
        <v/>
      </c>
      <c r="M268" s="16" t="str">
        <f t="shared" ca="1" si="43"/>
        <v/>
      </c>
      <c r="N268" s="16" t="str">
        <f>IF(ISNUMBER(C268),IF(AND(RESULTS!$C$40&lt;=C268,C268&lt;=RESULTS!$D$40),E268,""),"")</f>
        <v/>
      </c>
      <c r="O268" s="16" t="str">
        <f t="shared" ca="1" si="44"/>
        <v/>
      </c>
    </row>
    <row r="269" spans="3:15" x14ac:dyDescent="0.25">
      <c r="C269" s="58" t="e">
        <f t="shared" si="32"/>
        <v>#N/A</v>
      </c>
      <c r="D269" s="58" t="e">
        <f t="shared" si="33"/>
        <v>#N/A</v>
      </c>
      <c r="E269" s="15" t="str">
        <f t="shared" si="45"/>
        <v/>
      </c>
      <c r="F269" s="16" t="str">
        <f>IF(ISNUMBER(C269),IF(AND(RESULTS!$C$36&lt;=C269,C269&lt;=RESULTS!$D$36),E269,""),"")</f>
        <v/>
      </c>
      <c r="G269" s="16" t="str">
        <f t="shared" ca="1" si="40"/>
        <v/>
      </c>
      <c r="H269" s="16" t="str">
        <f>IF(ISNUMBER(C269),IF(AND(RESULTS!$C$37&lt;=C269,C269&lt;=RESULTS!$D$37),E269,""),"")</f>
        <v/>
      </c>
      <c r="I269" s="16" t="str">
        <f t="shared" ca="1" si="41"/>
        <v/>
      </c>
      <c r="J269" s="16" t="str">
        <f>IF(ISNUMBER(C269),IF(AND(RESULTS!$C$38&lt;=C269,C269&lt;=RESULTS!$D$38),E269,""),"")</f>
        <v/>
      </c>
      <c r="K269" s="16" t="str">
        <f t="shared" ca="1" si="42"/>
        <v/>
      </c>
      <c r="L269" s="16" t="str">
        <f>IF(ISNUMBER(C269),IF(AND(RESULTS!$C$39&lt;=C269,C269&lt;=RESULTS!$D$39),E269,""),"")</f>
        <v/>
      </c>
      <c r="M269" s="16" t="str">
        <f t="shared" ca="1" si="43"/>
        <v/>
      </c>
      <c r="N269" s="16" t="str">
        <f>IF(ISNUMBER(C269),IF(AND(RESULTS!$C$40&lt;=C269,C269&lt;=RESULTS!$D$40),E269,""),"")</f>
        <v/>
      </c>
      <c r="O269" s="16" t="str">
        <f t="shared" ca="1" si="44"/>
        <v/>
      </c>
    </row>
    <row r="270" spans="3:15" x14ac:dyDescent="0.25">
      <c r="C270" s="58" t="e">
        <f t="shared" si="32"/>
        <v>#N/A</v>
      </c>
      <c r="D270" s="58" t="e">
        <f t="shared" si="33"/>
        <v>#N/A</v>
      </c>
      <c r="E270" s="15" t="str">
        <f t="shared" si="45"/>
        <v/>
      </c>
      <c r="F270" s="16" t="str">
        <f>IF(ISNUMBER(C270),IF(AND(RESULTS!$C$36&lt;=C270,C270&lt;=RESULTS!$D$36),E270,""),"")</f>
        <v/>
      </c>
      <c r="G270" s="16" t="str">
        <f t="shared" ca="1" si="40"/>
        <v/>
      </c>
      <c r="H270" s="16" t="str">
        <f>IF(ISNUMBER(C270),IF(AND(RESULTS!$C$37&lt;=C270,C270&lt;=RESULTS!$D$37),E270,""),"")</f>
        <v/>
      </c>
      <c r="I270" s="16" t="str">
        <f t="shared" ca="1" si="41"/>
        <v/>
      </c>
      <c r="J270" s="16" t="str">
        <f>IF(ISNUMBER(C270),IF(AND(RESULTS!$C$38&lt;=C270,C270&lt;=RESULTS!$D$38),E270,""),"")</f>
        <v/>
      </c>
      <c r="K270" s="16" t="str">
        <f t="shared" ca="1" si="42"/>
        <v/>
      </c>
      <c r="L270" s="16" t="str">
        <f>IF(ISNUMBER(C270),IF(AND(RESULTS!$C$39&lt;=C270,C270&lt;=RESULTS!$D$39),E270,""),"")</f>
        <v/>
      </c>
      <c r="M270" s="16" t="str">
        <f t="shared" ca="1" si="43"/>
        <v/>
      </c>
      <c r="N270" s="16" t="str">
        <f>IF(ISNUMBER(C270),IF(AND(RESULTS!$C$40&lt;=C270,C270&lt;=RESULTS!$D$40),E270,""),"")</f>
        <v/>
      </c>
      <c r="O270" s="16" t="str">
        <f t="shared" ca="1" si="44"/>
        <v/>
      </c>
    </row>
    <row r="271" spans="3:15" x14ac:dyDescent="0.25">
      <c r="C271" s="58" t="e">
        <f t="shared" si="32"/>
        <v>#N/A</v>
      </c>
      <c r="D271" s="58" t="e">
        <f t="shared" si="33"/>
        <v>#N/A</v>
      </c>
      <c r="E271" s="15" t="str">
        <f t="shared" si="45"/>
        <v/>
      </c>
      <c r="F271" s="16" t="str">
        <f>IF(ISNUMBER(C271),IF(AND(RESULTS!$C$36&lt;=C271,C271&lt;=RESULTS!$D$36),E271,""),"")</f>
        <v/>
      </c>
      <c r="G271" s="16" t="str">
        <f t="shared" ca="1" si="40"/>
        <v/>
      </c>
      <c r="H271" s="16" t="str">
        <f>IF(ISNUMBER(C271),IF(AND(RESULTS!$C$37&lt;=C271,C271&lt;=RESULTS!$D$37),E271,""),"")</f>
        <v/>
      </c>
      <c r="I271" s="16" t="str">
        <f t="shared" ca="1" si="41"/>
        <v/>
      </c>
      <c r="J271" s="16" t="str">
        <f>IF(ISNUMBER(C271),IF(AND(RESULTS!$C$38&lt;=C271,C271&lt;=RESULTS!$D$38),E271,""),"")</f>
        <v/>
      </c>
      <c r="K271" s="16" t="str">
        <f t="shared" ca="1" si="42"/>
        <v/>
      </c>
      <c r="L271" s="16" t="str">
        <f>IF(ISNUMBER(C271),IF(AND(RESULTS!$C$39&lt;=C271,C271&lt;=RESULTS!$D$39),E271,""),"")</f>
        <v/>
      </c>
      <c r="M271" s="16" t="str">
        <f t="shared" ca="1" si="43"/>
        <v/>
      </c>
      <c r="N271" s="16" t="str">
        <f>IF(ISNUMBER(C271),IF(AND(RESULTS!$C$40&lt;=C271,C271&lt;=RESULTS!$D$40),E271,""),"")</f>
        <v/>
      </c>
      <c r="O271" s="16" t="str">
        <f t="shared" ca="1" si="44"/>
        <v/>
      </c>
    </row>
    <row r="272" spans="3:15" x14ac:dyDescent="0.25">
      <c r="C272" s="58" t="e">
        <f t="shared" si="32"/>
        <v>#N/A</v>
      </c>
      <c r="D272" s="58" t="e">
        <f t="shared" si="33"/>
        <v>#N/A</v>
      </c>
      <c r="E272" s="15" t="str">
        <f t="shared" si="45"/>
        <v/>
      </c>
      <c r="F272" s="16" t="str">
        <f>IF(ISNUMBER(C272),IF(AND(RESULTS!$C$36&lt;=C272,C272&lt;=RESULTS!$D$36),E272,""),"")</f>
        <v/>
      </c>
      <c r="G272" s="16" t="str">
        <f t="shared" ca="1" si="40"/>
        <v/>
      </c>
      <c r="H272" s="16" t="str">
        <f>IF(ISNUMBER(C272),IF(AND(RESULTS!$C$37&lt;=C272,C272&lt;=RESULTS!$D$37),E272,""),"")</f>
        <v/>
      </c>
      <c r="I272" s="16" t="str">
        <f t="shared" ca="1" si="41"/>
        <v/>
      </c>
      <c r="J272" s="16" t="str">
        <f>IF(ISNUMBER(C272),IF(AND(RESULTS!$C$38&lt;=C272,C272&lt;=RESULTS!$D$38),E272,""),"")</f>
        <v/>
      </c>
      <c r="K272" s="16" t="str">
        <f t="shared" ca="1" si="42"/>
        <v/>
      </c>
      <c r="L272" s="16" t="str">
        <f>IF(ISNUMBER(C272),IF(AND(RESULTS!$C$39&lt;=C272,C272&lt;=RESULTS!$D$39),E272,""),"")</f>
        <v/>
      </c>
      <c r="M272" s="16" t="str">
        <f t="shared" ca="1" si="43"/>
        <v/>
      </c>
      <c r="N272" s="16" t="str">
        <f>IF(ISNUMBER(C272),IF(AND(RESULTS!$C$40&lt;=C272,C272&lt;=RESULTS!$D$40),E272,""),"")</f>
        <v/>
      </c>
      <c r="O272" s="16" t="str">
        <f t="shared" ca="1" si="44"/>
        <v/>
      </c>
    </row>
    <row r="273" spans="3:15" x14ac:dyDescent="0.25">
      <c r="C273" s="58" t="e">
        <f t="shared" si="32"/>
        <v>#N/A</v>
      </c>
      <c r="D273" s="58" t="e">
        <f t="shared" si="33"/>
        <v>#N/A</v>
      </c>
      <c r="E273" s="15" t="str">
        <f t="shared" si="45"/>
        <v/>
      </c>
      <c r="F273" s="16" t="str">
        <f>IF(ISNUMBER(C273),IF(AND(RESULTS!$C$36&lt;=C273,C273&lt;=RESULTS!$D$36),E273,""),"")</f>
        <v/>
      </c>
      <c r="G273" s="16" t="str">
        <f t="shared" ca="1" si="40"/>
        <v/>
      </c>
      <c r="H273" s="16" t="str">
        <f>IF(ISNUMBER(C273),IF(AND(RESULTS!$C$37&lt;=C273,C273&lt;=RESULTS!$D$37),E273,""),"")</f>
        <v/>
      </c>
      <c r="I273" s="16" t="str">
        <f t="shared" ca="1" si="41"/>
        <v/>
      </c>
      <c r="J273" s="16" t="str">
        <f>IF(ISNUMBER(C273),IF(AND(RESULTS!$C$38&lt;=C273,C273&lt;=RESULTS!$D$38),E273,""),"")</f>
        <v/>
      </c>
      <c r="K273" s="16" t="str">
        <f t="shared" ca="1" si="42"/>
        <v/>
      </c>
      <c r="L273" s="16" t="str">
        <f>IF(ISNUMBER(C273),IF(AND(RESULTS!$C$39&lt;=C273,C273&lt;=RESULTS!$D$39),E273,""),"")</f>
        <v/>
      </c>
      <c r="M273" s="16" t="str">
        <f t="shared" ca="1" si="43"/>
        <v/>
      </c>
      <c r="N273" s="16" t="str">
        <f>IF(ISNUMBER(C273),IF(AND(RESULTS!$C$40&lt;=C273,C273&lt;=RESULTS!$D$40),E273,""),"")</f>
        <v/>
      </c>
      <c r="O273" s="16" t="str">
        <f t="shared" ca="1" si="44"/>
        <v/>
      </c>
    </row>
    <row r="274" spans="3:15" x14ac:dyDescent="0.25">
      <c r="C274" s="58" t="e">
        <f t="shared" si="32"/>
        <v>#N/A</v>
      </c>
      <c r="D274" s="58" t="e">
        <f t="shared" si="33"/>
        <v>#N/A</v>
      </c>
      <c r="E274" s="15" t="str">
        <f t="shared" si="45"/>
        <v/>
      </c>
      <c r="F274" s="16" t="str">
        <f>IF(ISNUMBER(C274),IF(AND(RESULTS!$C$36&lt;=C274,C274&lt;=RESULTS!$D$36),E274,""),"")</f>
        <v/>
      </c>
      <c r="G274" s="16" t="str">
        <f t="shared" ca="1" si="40"/>
        <v/>
      </c>
      <c r="H274" s="16" t="str">
        <f>IF(ISNUMBER(C274),IF(AND(RESULTS!$C$37&lt;=C274,C274&lt;=RESULTS!$D$37),E274,""),"")</f>
        <v/>
      </c>
      <c r="I274" s="16" t="str">
        <f t="shared" ca="1" si="41"/>
        <v/>
      </c>
      <c r="J274" s="16" t="str">
        <f>IF(ISNUMBER(C274),IF(AND(RESULTS!$C$38&lt;=C274,C274&lt;=RESULTS!$D$38),E274,""),"")</f>
        <v/>
      </c>
      <c r="K274" s="16" t="str">
        <f t="shared" ca="1" si="42"/>
        <v/>
      </c>
      <c r="L274" s="16" t="str">
        <f>IF(ISNUMBER(C274),IF(AND(RESULTS!$C$39&lt;=C274,C274&lt;=RESULTS!$D$39),E274,""),"")</f>
        <v/>
      </c>
      <c r="M274" s="16" t="str">
        <f t="shared" ca="1" si="43"/>
        <v/>
      </c>
      <c r="N274" s="16" t="str">
        <f>IF(ISNUMBER(C274),IF(AND(RESULTS!$C$40&lt;=C274,C274&lt;=RESULTS!$D$40),E274,""),"")</f>
        <v/>
      </c>
      <c r="O274" s="16" t="str">
        <f t="shared" ca="1" si="44"/>
        <v/>
      </c>
    </row>
    <row r="275" spans="3:15" x14ac:dyDescent="0.25">
      <c r="C275" s="58" t="e">
        <f t="shared" ref="C275:C301" si="46">IF(ISNUMBER(A315),A315,NA())</f>
        <v>#N/A</v>
      </c>
      <c r="D275" s="58" t="e">
        <f t="shared" ref="D275:D301" si="47">IF(ISNUMBER(B315),B315,NA())</f>
        <v>#N/A</v>
      </c>
      <c r="E275" s="15" t="str">
        <f t="shared" si="45"/>
        <v/>
      </c>
      <c r="F275" s="16" t="str">
        <f>IF(ISNUMBER(C275),IF(AND(RESULTS!$C$36&lt;=C275,C275&lt;=RESULTS!$D$36),E275,""),"")</f>
        <v/>
      </c>
      <c r="G275" s="16" t="str">
        <f t="shared" ca="1" si="40"/>
        <v/>
      </c>
      <c r="H275" s="16" t="str">
        <f>IF(ISNUMBER(C275),IF(AND(RESULTS!$C$37&lt;=C275,C275&lt;=RESULTS!$D$37),E275,""),"")</f>
        <v/>
      </c>
      <c r="I275" s="16" t="str">
        <f t="shared" ca="1" si="41"/>
        <v/>
      </c>
      <c r="J275" s="16" t="str">
        <f>IF(ISNUMBER(C275),IF(AND(RESULTS!$C$38&lt;=C275,C275&lt;=RESULTS!$D$38),E275,""),"")</f>
        <v/>
      </c>
      <c r="K275" s="16" t="str">
        <f t="shared" ca="1" si="42"/>
        <v/>
      </c>
      <c r="L275" s="16" t="str">
        <f>IF(ISNUMBER(C275),IF(AND(RESULTS!$C$39&lt;=C275,C275&lt;=RESULTS!$D$39),E275,""),"")</f>
        <v/>
      </c>
      <c r="M275" s="16" t="str">
        <f t="shared" ca="1" si="43"/>
        <v/>
      </c>
      <c r="N275" s="16" t="str">
        <f>IF(ISNUMBER(C275),IF(AND(RESULTS!$C$40&lt;=C275,C275&lt;=RESULTS!$D$40),E275,""),"")</f>
        <v/>
      </c>
      <c r="O275" s="16" t="str">
        <f t="shared" ca="1" si="44"/>
        <v/>
      </c>
    </row>
    <row r="276" spans="3:15" x14ac:dyDescent="0.25">
      <c r="C276" s="58" t="e">
        <f t="shared" si="46"/>
        <v>#N/A</v>
      </c>
      <c r="D276" s="58" t="e">
        <f t="shared" si="47"/>
        <v>#N/A</v>
      </c>
      <c r="E276" s="15" t="str">
        <f t="shared" si="45"/>
        <v/>
      </c>
      <c r="F276" s="16" t="str">
        <f>IF(ISNUMBER(C276),IF(AND(RESULTS!$C$36&lt;=C276,C276&lt;=RESULTS!$D$36),E276,""),"")</f>
        <v/>
      </c>
      <c r="G276" s="16" t="str">
        <f t="shared" ca="1" si="40"/>
        <v/>
      </c>
      <c r="H276" s="16" t="str">
        <f>IF(ISNUMBER(C276),IF(AND(RESULTS!$C$37&lt;=C276,C276&lt;=RESULTS!$D$37),E276,""),"")</f>
        <v/>
      </c>
      <c r="I276" s="16" t="str">
        <f t="shared" ca="1" si="41"/>
        <v/>
      </c>
      <c r="J276" s="16" t="str">
        <f>IF(ISNUMBER(C276),IF(AND(RESULTS!$C$38&lt;=C276,C276&lt;=RESULTS!$D$38),E276,""),"")</f>
        <v/>
      </c>
      <c r="K276" s="16" t="str">
        <f t="shared" ca="1" si="42"/>
        <v/>
      </c>
      <c r="L276" s="16" t="str">
        <f>IF(ISNUMBER(C276),IF(AND(RESULTS!$C$39&lt;=C276,C276&lt;=RESULTS!$D$39),E276,""),"")</f>
        <v/>
      </c>
      <c r="M276" s="16" t="str">
        <f t="shared" ca="1" si="43"/>
        <v/>
      </c>
      <c r="N276" s="16" t="str">
        <f>IF(ISNUMBER(C276),IF(AND(RESULTS!$C$40&lt;=C276,C276&lt;=RESULTS!$D$40),E276,""),"")</f>
        <v/>
      </c>
      <c r="O276" s="16" t="str">
        <f t="shared" ca="1" si="44"/>
        <v/>
      </c>
    </row>
    <row r="277" spans="3:15" x14ac:dyDescent="0.25">
      <c r="C277" s="58" t="e">
        <f t="shared" si="46"/>
        <v>#N/A</v>
      </c>
      <c r="D277" s="58" t="e">
        <f t="shared" si="47"/>
        <v>#N/A</v>
      </c>
      <c r="E277" s="15" t="str">
        <f t="shared" si="45"/>
        <v/>
      </c>
      <c r="F277" s="16" t="str">
        <f>IF(ISNUMBER(C277),IF(AND(RESULTS!$C$36&lt;=C277,C277&lt;=RESULTS!$D$36),E277,""),"")</f>
        <v/>
      </c>
      <c r="G277" s="16" t="str">
        <f t="shared" ca="1" si="40"/>
        <v/>
      </c>
      <c r="H277" s="16" t="str">
        <f>IF(ISNUMBER(C277),IF(AND(RESULTS!$C$37&lt;=C277,C277&lt;=RESULTS!$D$37),E277,""),"")</f>
        <v/>
      </c>
      <c r="I277" s="16" t="str">
        <f t="shared" ca="1" si="41"/>
        <v/>
      </c>
      <c r="J277" s="16" t="str">
        <f>IF(ISNUMBER(C277),IF(AND(RESULTS!$C$38&lt;=C277,C277&lt;=RESULTS!$D$38),E277,""),"")</f>
        <v/>
      </c>
      <c r="K277" s="16" t="str">
        <f t="shared" ca="1" si="42"/>
        <v/>
      </c>
      <c r="L277" s="16" t="str">
        <f>IF(ISNUMBER(C277),IF(AND(RESULTS!$C$39&lt;=C277,C277&lt;=RESULTS!$D$39),E277,""),"")</f>
        <v/>
      </c>
      <c r="M277" s="16" t="str">
        <f t="shared" ca="1" si="43"/>
        <v/>
      </c>
      <c r="N277" s="16" t="str">
        <f>IF(ISNUMBER(C277),IF(AND(RESULTS!$C$40&lt;=C277,C277&lt;=RESULTS!$D$40),E277,""),"")</f>
        <v/>
      </c>
      <c r="O277" s="16" t="str">
        <f t="shared" ca="1" si="44"/>
        <v/>
      </c>
    </row>
    <row r="278" spans="3:15" x14ac:dyDescent="0.25">
      <c r="C278" s="58" t="e">
        <f t="shared" si="46"/>
        <v>#N/A</v>
      </c>
      <c r="D278" s="58" t="e">
        <f t="shared" si="47"/>
        <v>#N/A</v>
      </c>
      <c r="E278" s="15" t="str">
        <f t="shared" si="45"/>
        <v/>
      </c>
      <c r="F278" s="16" t="str">
        <f>IF(ISNUMBER(C278),IF(AND(RESULTS!$C$36&lt;=C278,C278&lt;=RESULTS!$D$36),E278,""),"")</f>
        <v/>
      </c>
      <c r="G278" s="16" t="str">
        <f t="shared" ca="1" si="40"/>
        <v/>
      </c>
      <c r="H278" s="16" t="str">
        <f>IF(ISNUMBER(C278),IF(AND(RESULTS!$C$37&lt;=C278,C278&lt;=RESULTS!$D$37),E278,""),"")</f>
        <v/>
      </c>
      <c r="I278" s="16" t="str">
        <f t="shared" ca="1" si="41"/>
        <v/>
      </c>
      <c r="J278" s="16" t="str">
        <f>IF(ISNUMBER(C278),IF(AND(RESULTS!$C$38&lt;=C278,C278&lt;=RESULTS!$D$38),E278,""),"")</f>
        <v/>
      </c>
      <c r="K278" s="16" t="str">
        <f t="shared" ca="1" si="42"/>
        <v/>
      </c>
      <c r="L278" s="16" t="str">
        <f>IF(ISNUMBER(C278),IF(AND(RESULTS!$C$39&lt;=C278,C278&lt;=RESULTS!$D$39),E278,""),"")</f>
        <v/>
      </c>
      <c r="M278" s="16" t="str">
        <f t="shared" ca="1" si="43"/>
        <v/>
      </c>
      <c r="N278" s="16" t="str">
        <f>IF(ISNUMBER(C278),IF(AND(RESULTS!$C$40&lt;=C278,C278&lt;=RESULTS!$D$40),E278,""),"")</f>
        <v/>
      </c>
      <c r="O278" s="16" t="str">
        <f t="shared" ca="1" si="44"/>
        <v/>
      </c>
    </row>
    <row r="279" spans="3:15" x14ac:dyDescent="0.25">
      <c r="C279" s="58" t="e">
        <f t="shared" si="46"/>
        <v>#N/A</v>
      </c>
      <c r="D279" s="58" t="e">
        <f t="shared" si="47"/>
        <v>#N/A</v>
      </c>
      <c r="E279" s="15" t="str">
        <f t="shared" si="45"/>
        <v/>
      </c>
      <c r="F279" s="16" t="str">
        <f>IF(ISNUMBER(C279),IF(AND(RESULTS!$C$36&lt;=C279,C279&lt;=RESULTS!$D$36),E279,""),"")</f>
        <v/>
      </c>
      <c r="G279" s="16" t="str">
        <f t="shared" ca="1" si="40"/>
        <v/>
      </c>
      <c r="H279" s="16" t="str">
        <f>IF(ISNUMBER(C279),IF(AND(RESULTS!$C$37&lt;=C279,C279&lt;=RESULTS!$D$37),E279,""),"")</f>
        <v/>
      </c>
      <c r="I279" s="16" t="str">
        <f t="shared" ca="1" si="41"/>
        <v/>
      </c>
      <c r="J279" s="16" t="str">
        <f>IF(ISNUMBER(C279),IF(AND(RESULTS!$C$38&lt;=C279,C279&lt;=RESULTS!$D$38),E279,""),"")</f>
        <v/>
      </c>
      <c r="K279" s="16" t="str">
        <f t="shared" ca="1" si="42"/>
        <v/>
      </c>
      <c r="L279" s="16" t="str">
        <f>IF(ISNUMBER(C279),IF(AND(RESULTS!$C$39&lt;=C279,C279&lt;=RESULTS!$D$39),E279,""),"")</f>
        <v/>
      </c>
      <c r="M279" s="16" t="str">
        <f t="shared" ca="1" si="43"/>
        <v/>
      </c>
      <c r="N279" s="16" t="str">
        <f>IF(ISNUMBER(C279),IF(AND(RESULTS!$C$40&lt;=C279,C279&lt;=RESULTS!$D$40),E279,""),"")</f>
        <v/>
      </c>
      <c r="O279" s="16" t="str">
        <f t="shared" ca="1" si="44"/>
        <v/>
      </c>
    </row>
    <row r="280" spans="3:15" x14ac:dyDescent="0.25">
      <c r="C280" s="58" t="e">
        <f t="shared" si="46"/>
        <v>#N/A</v>
      </c>
      <c r="D280" s="58" t="e">
        <f t="shared" si="47"/>
        <v>#N/A</v>
      </c>
      <c r="E280" s="15" t="str">
        <f t="shared" si="45"/>
        <v/>
      </c>
      <c r="F280" s="16" t="str">
        <f>IF(ISNUMBER(C280),IF(AND(RESULTS!$C$36&lt;=C280,C280&lt;=RESULTS!$D$36),E280,""),"")</f>
        <v/>
      </c>
      <c r="G280" s="16" t="str">
        <f t="shared" ca="1" si="40"/>
        <v/>
      </c>
      <c r="H280" s="16" t="str">
        <f>IF(ISNUMBER(C280),IF(AND(RESULTS!$C$37&lt;=C280,C280&lt;=RESULTS!$D$37),E280,""),"")</f>
        <v/>
      </c>
      <c r="I280" s="16" t="str">
        <f t="shared" ca="1" si="41"/>
        <v/>
      </c>
      <c r="J280" s="16" t="str">
        <f>IF(ISNUMBER(C280),IF(AND(RESULTS!$C$38&lt;=C280,C280&lt;=RESULTS!$D$38),E280,""),"")</f>
        <v/>
      </c>
      <c r="K280" s="16" t="str">
        <f t="shared" ca="1" si="42"/>
        <v/>
      </c>
      <c r="L280" s="16" t="str">
        <f>IF(ISNUMBER(C280),IF(AND(RESULTS!$C$39&lt;=C280,C280&lt;=RESULTS!$D$39),E280,""),"")</f>
        <v/>
      </c>
      <c r="M280" s="16" t="str">
        <f t="shared" ca="1" si="43"/>
        <v/>
      </c>
      <c r="N280" s="16" t="str">
        <f>IF(ISNUMBER(C280),IF(AND(RESULTS!$C$40&lt;=C280,C280&lt;=RESULTS!$D$40),E280,""),"")</f>
        <v/>
      </c>
      <c r="O280" s="16" t="str">
        <f t="shared" ca="1" si="44"/>
        <v/>
      </c>
    </row>
    <row r="281" spans="3:15" x14ac:dyDescent="0.25">
      <c r="C281" s="58" t="e">
        <f t="shared" si="46"/>
        <v>#N/A</v>
      </c>
      <c r="D281" s="58" t="e">
        <f t="shared" si="47"/>
        <v>#N/A</v>
      </c>
      <c r="E281" s="15" t="str">
        <f t="shared" si="45"/>
        <v/>
      </c>
      <c r="F281" s="16" t="str">
        <f>IF(ISNUMBER(C281),IF(AND(RESULTS!$C$36&lt;=C281,C281&lt;=RESULTS!$D$36),E281,""),"")</f>
        <v/>
      </c>
      <c r="G281" s="16" t="str">
        <f t="shared" ca="1" si="40"/>
        <v/>
      </c>
      <c r="H281" s="16" t="str">
        <f>IF(ISNUMBER(C281),IF(AND(RESULTS!$C$37&lt;=C281,C281&lt;=RESULTS!$D$37),E281,""),"")</f>
        <v/>
      </c>
      <c r="I281" s="16" t="str">
        <f t="shared" ca="1" si="41"/>
        <v/>
      </c>
      <c r="J281" s="16" t="str">
        <f>IF(ISNUMBER(C281),IF(AND(RESULTS!$C$38&lt;=C281,C281&lt;=RESULTS!$D$38),E281,""),"")</f>
        <v/>
      </c>
      <c r="K281" s="16" t="str">
        <f t="shared" ca="1" si="42"/>
        <v/>
      </c>
      <c r="L281" s="16" t="str">
        <f>IF(ISNUMBER(C281),IF(AND(RESULTS!$C$39&lt;=C281,C281&lt;=RESULTS!$D$39),E281,""),"")</f>
        <v/>
      </c>
      <c r="M281" s="16" t="str">
        <f t="shared" ca="1" si="43"/>
        <v/>
      </c>
      <c r="N281" s="16" t="str">
        <f>IF(ISNUMBER(C281),IF(AND(RESULTS!$C$40&lt;=C281,C281&lt;=RESULTS!$D$40),E281,""),"")</f>
        <v/>
      </c>
      <c r="O281" s="16" t="str">
        <f t="shared" ca="1" si="44"/>
        <v/>
      </c>
    </row>
    <row r="282" spans="3:15" x14ac:dyDescent="0.25">
      <c r="C282" s="58" t="e">
        <f t="shared" si="46"/>
        <v>#N/A</v>
      </c>
      <c r="D282" s="58" t="e">
        <f t="shared" si="47"/>
        <v>#N/A</v>
      </c>
      <c r="E282" s="15" t="str">
        <f t="shared" si="45"/>
        <v/>
      </c>
      <c r="F282" s="16" t="str">
        <f>IF(ISNUMBER(C282),IF(AND(RESULTS!$C$36&lt;=C282,C282&lt;=RESULTS!$D$36),E282,""),"")</f>
        <v/>
      </c>
      <c r="G282" s="16" t="str">
        <f t="shared" ca="1" si="40"/>
        <v/>
      </c>
      <c r="H282" s="16" t="str">
        <f>IF(ISNUMBER(C282),IF(AND(RESULTS!$C$37&lt;=C282,C282&lt;=RESULTS!$D$37),E282,""),"")</f>
        <v/>
      </c>
      <c r="I282" s="16" t="str">
        <f t="shared" ca="1" si="41"/>
        <v/>
      </c>
      <c r="J282" s="16" t="str">
        <f>IF(ISNUMBER(C282),IF(AND(RESULTS!$C$38&lt;=C282,C282&lt;=RESULTS!$D$38),E282,""),"")</f>
        <v/>
      </c>
      <c r="K282" s="16" t="str">
        <f t="shared" ca="1" si="42"/>
        <v/>
      </c>
      <c r="L282" s="16" t="str">
        <f>IF(ISNUMBER(C282),IF(AND(RESULTS!$C$39&lt;=C282,C282&lt;=RESULTS!$D$39),E282,""),"")</f>
        <v/>
      </c>
      <c r="M282" s="16" t="str">
        <f t="shared" ca="1" si="43"/>
        <v/>
      </c>
      <c r="N282" s="16" t="str">
        <f>IF(ISNUMBER(C282),IF(AND(RESULTS!$C$40&lt;=C282,C282&lt;=RESULTS!$D$40),E282,""),"")</f>
        <v/>
      </c>
      <c r="O282" s="16" t="str">
        <f t="shared" ca="1" si="44"/>
        <v/>
      </c>
    </row>
    <row r="283" spans="3:15" x14ac:dyDescent="0.25">
      <c r="C283" s="58" t="e">
        <f t="shared" si="46"/>
        <v>#N/A</v>
      </c>
      <c r="D283" s="58" t="e">
        <f t="shared" si="47"/>
        <v>#N/A</v>
      </c>
      <c r="E283" s="15" t="str">
        <f t="shared" si="45"/>
        <v/>
      </c>
      <c r="F283" s="16" t="str">
        <f>IF(ISNUMBER(C283),IF(AND(RESULTS!$C$36&lt;=C283,C283&lt;=RESULTS!$D$36),E283,""),"")</f>
        <v/>
      </c>
      <c r="G283" s="16" t="str">
        <f t="shared" ca="1" si="40"/>
        <v/>
      </c>
      <c r="H283" s="16" t="str">
        <f>IF(ISNUMBER(C283),IF(AND(RESULTS!$C$37&lt;=C283,C283&lt;=RESULTS!$D$37),E283,""),"")</f>
        <v/>
      </c>
      <c r="I283" s="16" t="str">
        <f t="shared" ca="1" si="41"/>
        <v/>
      </c>
      <c r="J283" s="16" t="str">
        <f>IF(ISNUMBER(C283),IF(AND(RESULTS!$C$38&lt;=C283,C283&lt;=RESULTS!$D$38),E283,""),"")</f>
        <v/>
      </c>
      <c r="K283" s="16" t="str">
        <f t="shared" ca="1" si="42"/>
        <v/>
      </c>
      <c r="L283" s="16" t="str">
        <f>IF(ISNUMBER(C283),IF(AND(RESULTS!$C$39&lt;=C283,C283&lt;=RESULTS!$D$39),E283,""),"")</f>
        <v/>
      </c>
      <c r="M283" s="16" t="str">
        <f t="shared" ca="1" si="43"/>
        <v/>
      </c>
      <c r="N283" s="16" t="str">
        <f>IF(ISNUMBER(C283),IF(AND(RESULTS!$C$40&lt;=C283,C283&lt;=RESULTS!$D$40),E283,""),"")</f>
        <v/>
      </c>
      <c r="O283" s="16" t="str">
        <f t="shared" ca="1" si="44"/>
        <v/>
      </c>
    </row>
    <row r="284" spans="3:15" x14ac:dyDescent="0.25">
      <c r="C284" s="58" t="e">
        <f t="shared" si="46"/>
        <v>#N/A</v>
      </c>
      <c r="D284" s="58" t="e">
        <f t="shared" si="47"/>
        <v>#N/A</v>
      </c>
      <c r="E284" s="15" t="str">
        <f t="shared" si="45"/>
        <v/>
      </c>
      <c r="F284" s="16" t="str">
        <f>IF(ISNUMBER(C284),IF(AND(RESULTS!$C$36&lt;=C284,C284&lt;=RESULTS!$D$36),E284,""),"")</f>
        <v/>
      </c>
      <c r="G284" s="16" t="str">
        <f t="shared" ca="1" si="40"/>
        <v/>
      </c>
      <c r="H284" s="16" t="str">
        <f>IF(ISNUMBER(C284),IF(AND(RESULTS!$C$37&lt;=C284,C284&lt;=RESULTS!$D$37),E284,""),"")</f>
        <v/>
      </c>
      <c r="I284" s="16" t="str">
        <f t="shared" ca="1" si="41"/>
        <v/>
      </c>
      <c r="J284" s="16" t="str">
        <f>IF(ISNUMBER(C284),IF(AND(RESULTS!$C$38&lt;=C284,C284&lt;=RESULTS!$D$38),E284,""),"")</f>
        <v/>
      </c>
      <c r="K284" s="16" t="str">
        <f t="shared" ca="1" si="42"/>
        <v/>
      </c>
      <c r="L284" s="16" t="str">
        <f>IF(ISNUMBER(C284),IF(AND(RESULTS!$C$39&lt;=C284,C284&lt;=RESULTS!$D$39),E284,""),"")</f>
        <v/>
      </c>
      <c r="M284" s="16" t="str">
        <f t="shared" ca="1" si="43"/>
        <v/>
      </c>
      <c r="N284" s="16" t="str">
        <f>IF(ISNUMBER(C284),IF(AND(RESULTS!$C$40&lt;=C284,C284&lt;=RESULTS!$D$40),E284,""),"")</f>
        <v/>
      </c>
      <c r="O284" s="16" t="str">
        <f t="shared" ca="1" si="44"/>
        <v/>
      </c>
    </row>
    <row r="285" spans="3:15" x14ac:dyDescent="0.25">
      <c r="C285" s="58" t="e">
        <f t="shared" si="46"/>
        <v>#N/A</v>
      </c>
      <c r="D285" s="58" t="e">
        <f t="shared" si="47"/>
        <v>#N/A</v>
      </c>
      <c r="E285" s="15" t="str">
        <f t="shared" si="45"/>
        <v/>
      </c>
      <c r="F285" s="16" t="str">
        <f>IF(ISNUMBER(C285),IF(AND(RESULTS!$C$36&lt;=C285,C285&lt;=RESULTS!$D$36),E285,""),"")</f>
        <v/>
      </c>
      <c r="G285" s="16" t="str">
        <f t="shared" ca="1" si="40"/>
        <v/>
      </c>
      <c r="H285" s="16" t="str">
        <f>IF(ISNUMBER(C285),IF(AND(RESULTS!$C$37&lt;=C285,C285&lt;=RESULTS!$D$37),E285,""),"")</f>
        <v/>
      </c>
      <c r="I285" s="16" t="str">
        <f t="shared" ca="1" si="41"/>
        <v/>
      </c>
      <c r="J285" s="16" t="str">
        <f>IF(ISNUMBER(C285),IF(AND(RESULTS!$C$38&lt;=C285,C285&lt;=RESULTS!$D$38),E285,""),"")</f>
        <v/>
      </c>
      <c r="K285" s="16" t="str">
        <f t="shared" ca="1" si="42"/>
        <v/>
      </c>
      <c r="L285" s="16" t="str">
        <f>IF(ISNUMBER(C285),IF(AND(RESULTS!$C$39&lt;=C285,C285&lt;=RESULTS!$D$39),E285,""),"")</f>
        <v/>
      </c>
      <c r="M285" s="16" t="str">
        <f t="shared" ca="1" si="43"/>
        <v/>
      </c>
      <c r="N285" s="16" t="str">
        <f>IF(ISNUMBER(C285),IF(AND(RESULTS!$C$40&lt;=C285,C285&lt;=RESULTS!$D$40),E285,""),"")</f>
        <v/>
      </c>
      <c r="O285" s="16" t="str">
        <f t="shared" ca="1" si="44"/>
        <v/>
      </c>
    </row>
    <row r="286" spans="3:15" x14ac:dyDescent="0.25">
      <c r="C286" s="58" t="e">
        <f t="shared" si="46"/>
        <v>#N/A</v>
      </c>
      <c r="D286" s="58" t="e">
        <f t="shared" si="47"/>
        <v>#N/A</v>
      </c>
      <c r="E286" s="15" t="str">
        <f t="shared" si="45"/>
        <v/>
      </c>
      <c r="F286" s="16" t="str">
        <f>IF(ISNUMBER(C286),IF(AND(RESULTS!$C$36&lt;=C286,C286&lt;=RESULTS!$D$36),E286,""),"")</f>
        <v/>
      </c>
      <c r="G286" s="16" t="str">
        <f t="shared" ca="1" si="40"/>
        <v/>
      </c>
      <c r="H286" s="16" t="str">
        <f>IF(ISNUMBER(C286),IF(AND(RESULTS!$C$37&lt;=C286,C286&lt;=RESULTS!$D$37),E286,""),"")</f>
        <v/>
      </c>
      <c r="I286" s="16" t="str">
        <f t="shared" ca="1" si="41"/>
        <v/>
      </c>
      <c r="J286" s="16" t="str">
        <f>IF(ISNUMBER(C286),IF(AND(RESULTS!$C$38&lt;=C286,C286&lt;=RESULTS!$D$38),E286,""),"")</f>
        <v/>
      </c>
      <c r="K286" s="16" t="str">
        <f t="shared" ca="1" si="42"/>
        <v/>
      </c>
      <c r="L286" s="16" t="str">
        <f>IF(ISNUMBER(C286),IF(AND(RESULTS!$C$39&lt;=C286,C286&lt;=RESULTS!$D$39),E286,""),"")</f>
        <v/>
      </c>
      <c r="M286" s="16" t="str">
        <f t="shared" ca="1" si="43"/>
        <v/>
      </c>
      <c r="N286" s="16" t="str">
        <f>IF(ISNUMBER(C286),IF(AND(RESULTS!$C$40&lt;=C286,C286&lt;=RESULTS!$D$40),E286,""),"")</f>
        <v/>
      </c>
      <c r="O286" s="16" t="str">
        <f t="shared" ca="1" si="44"/>
        <v/>
      </c>
    </row>
    <row r="287" spans="3:15" x14ac:dyDescent="0.25">
      <c r="C287" s="58" t="e">
        <f t="shared" si="46"/>
        <v>#N/A</v>
      </c>
      <c r="D287" s="58" t="e">
        <f t="shared" si="47"/>
        <v>#N/A</v>
      </c>
      <c r="E287" s="15" t="str">
        <f t="shared" si="45"/>
        <v/>
      </c>
      <c r="F287" s="16" t="str">
        <f>IF(ISNUMBER(C287),IF(AND(RESULTS!$C$36&lt;=C287,C287&lt;=RESULTS!$D$36),E287,""),"")</f>
        <v/>
      </c>
      <c r="G287" s="16" t="str">
        <f t="shared" ca="1" si="40"/>
        <v/>
      </c>
      <c r="H287" s="16" t="str">
        <f>IF(ISNUMBER(C287),IF(AND(RESULTS!$C$37&lt;=C287,C287&lt;=RESULTS!$D$37),E287,""),"")</f>
        <v/>
      </c>
      <c r="I287" s="16" t="str">
        <f t="shared" ca="1" si="41"/>
        <v/>
      </c>
      <c r="J287" s="16" t="str">
        <f>IF(ISNUMBER(C287),IF(AND(RESULTS!$C$38&lt;=C287,C287&lt;=RESULTS!$D$38),E287,""),"")</f>
        <v/>
      </c>
      <c r="K287" s="16" t="str">
        <f t="shared" ca="1" si="42"/>
        <v/>
      </c>
      <c r="L287" s="16" t="str">
        <f>IF(ISNUMBER(C287),IF(AND(RESULTS!$C$39&lt;=C287,C287&lt;=RESULTS!$D$39),E287,""),"")</f>
        <v/>
      </c>
      <c r="M287" s="16" t="str">
        <f t="shared" ca="1" si="43"/>
        <v/>
      </c>
      <c r="N287" s="16" t="str">
        <f>IF(ISNUMBER(C287),IF(AND(RESULTS!$C$40&lt;=C287,C287&lt;=RESULTS!$D$40),E287,""),"")</f>
        <v/>
      </c>
      <c r="O287" s="16" t="str">
        <f t="shared" ca="1" si="44"/>
        <v/>
      </c>
    </row>
    <row r="288" spans="3:15" x14ac:dyDescent="0.25">
      <c r="C288" s="58" t="e">
        <f t="shared" si="46"/>
        <v>#N/A</v>
      </c>
      <c r="D288" s="58" t="e">
        <f t="shared" si="47"/>
        <v>#N/A</v>
      </c>
      <c r="E288" s="15" t="str">
        <f t="shared" si="45"/>
        <v/>
      </c>
      <c r="F288" s="16" t="str">
        <f>IF(ISNUMBER(C288),IF(AND(RESULTS!$C$36&lt;=C288,C288&lt;=RESULTS!$D$36),E288,""),"")</f>
        <v/>
      </c>
      <c r="G288" s="16" t="str">
        <f t="shared" ca="1" si="40"/>
        <v/>
      </c>
      <c r="H288" s="16" t="str">
        <f>IF(ISNUMBER(C288),IF(AND(RESULTS!$C$37&lt;=C288,C288&lt;=RESULTS!$D$37),E288,""),"")</f>
        <v/>
      </c>
      <c r="I288" s="16" t="str">
        <f t="shared" ca="1" si="41"/>
        <v/>
      </c>
      <c r="J288" s="16" t="str">
        <f>IF(ISNUMBER(C288),IF(AND(RESULTS!$C$38&lt;=C288,C288&lt;=RESULTS!$D$38),E288,""),"")</f>
        <v/>
      </c>
      <c r="K288" s="16" t="str">
        <f t="shared" ca="1" si="42"/>
        <v/>
      </c>
      <c r="L288" s="16" t="str">
        <f>IF(ISNUMBER(C288),IF(AND(RESULTS!$C$39&lt;=C288,C288&lt;=RESULTS!$D$39),E288,""),"")</f>
        <v/>
      </c>
      <c r="M288" s="16" t="str">
        <f t="shared" ca="1" si="43"/>
        <v/>
      </c>
      <c r="N288" s="16" t="str">
        <f>IF(ISNUMBER(C288),IF(AND(RESULTS!$C$40&lt;=C288,C288&lt;=RESULTS!$D$40),E288,""),"")</f>
        <v/>
      </c>
      <c r="O288" s="16" t="str">
        <f t="shared" ca="1" si="44"/>
        <v/>
      </c>
    </row>
    <row r="289" spans="3:15" x14ac:dyDescent="0.25">
      <c r="C289" s="58" t="e">
        <f t="shared" si="46"/>
        <v>#N/A</v>
      </c>
      <c r="D289" s="58" t="e">
        <f t="shared" si="47"/>
        <v>#N/A</v>
      </c>
      <c r="E289" s="15" t="str">
        <f t="shared" si="45"/>
        <v/>
      </c>
      <c r="F289" s="16" t="str">
        <f>IF(ISNUMBER(C289),IF(AND(RESULTS!$C$36&lt;=C289,C289&lt;=RESULTS!$D$36),E289,""),"")</f>
        <v/>
      </c>
      <c r="G289" s="16" t="str">
        <f t="shared" ca="1" si="40"/>
        <v/>
      </c>
      <c r="H289" s="16" t="str">
        <f>IF(ISNUMBER(C289),IF(AND(RESULTS!$C$37&lt;=C289,C289&lt;=RESULTS!$D$37),E289,""),"")</f>
        <v/>
      </c>
      <c r="I289" s="16" t="str">
        <f t="shared" ca="1" si="41"/>
        <v/>
      </c>
      <c r="J289" s="16" t="str">
        <f>IF(ISNUMBER(C289),IF(AND(RESULTS!$C$38&lt;=C289,C289&lt;=RESULTS!$D$38),E289,""),"")</f>
        <v/>
      </c>
      <c r="K289" s="16" t="str">
        <f t="shared" ca="1" si="42"/>
        <v/>
      </c>
      <c r="L289" s="16" t="str">
        <f>IF(ISNUMBER(C289),IF(AND(RESULTS!$C$39&lt;=C289,C289&lt;=RESULTS!$D$39),E289,""),"")</f>
        <v/>
      </c>
      <c r="M289" s="16" t="str">
        <f t="shared" ca="1" si="43"/>
        <v/>
      </c>
      <c r="N289" s="16" t="str">
        <f>IF(ISNUMBER(C289),IF(AND(RESULTS!$C$40&lt;=C289,C289&lt;=RESULTS!$D$40),E289,""),"")</f>
        <v/>
      </c>
      <c r="O289" s="16" t="str">
        <f t="shared" ca="1" si="44"/>
        <v/>
      </c>
    </row>
    <row r="290" spans="3:15" x14ac:dyDescent="0.25">
      <c r="C290" s="58" t="e">
        <f t="shared" si="46"/>
        <v>#N/A</v>
      </c>
      <c r="D290" s="58" t="e">
        <f t="shared" si="47"/>
        <v>#N/A</v>
      </c>
      <c r="E290" s="15" t="str">
        <f t="shared" si="45"/>
        <v/>
      </c>
      <c r="F290" s="16" t="str">
        <f>IF(ISNUMBER(C290),IF(AND(RESULTS!$C$36&lt;=C290,C290&lt;=RESULTS!$D$36),E290,""),"")</f>
        <v/>
      </c>
      <c r="G290" s="16" t="str">
        <f t="shared" ca="1" si="40"/>
        <v/>
      </c>
      <c r="H290" s="16" t="str">
        <f>IF(ISNUMBER(C290),IF(AND(RESULTS!$C$37&lt;=C290,C290&lt;=RESULTS!$D$37),E290,""),"")</f>
        <v/>
      </c>
      <c r="I290" s="16" t="str">
        <f t="shared" ca="1" si="41"/>
        <v/>
      </c>
      <c r="J290" s="16" t="str">
        <f>IF(ISNUMBER(C290),IF(AND(RESULTS!$C$38&lt;=C290,C290&lt;=RESULTS!$D$38),E290,""),"")</f>
        <v/>
      </c>
      <c r="K290" s="16" t="str">
        <f t="shared" ca="1" si="42"/>
        <v/>
      </c>
      <c r="L290" s="16" t="str">
        <f>IF(ISNUMBER(C290),IF(AND(RESULTS!$C$39&lt;=C290,C290&lt;=RESULTS!$D$39),E290,""),"")</f>
        <v/>
      </c>
      <c r="M290" s="16" t="str">
        <f t="shared" ca="1" si="43"/>
        <v/>
      </c>
      <c r="N290" s="16" t="str">
        <f>IF(ISNUMBER(C290),IF(AND(RESULTS!$C$40&lt;=C290,C290&lt;=RESULTS!$D$40),E290,""),"")</f>
        <v/>
      </c>
      <c r="O290" s="16" t="str">
        <f t="shared" ca="1" si="44"/>
        <v/>
      </c>
    </row>
    <row r="291" spans="3:15" x14ac:dyDescent="0.25">
      <c r="C291" s="58" t="e">
        <f t="shared" si="46"/>
        <v>#N/A</v>
      </c>
      <c r="D291" s="58" t="e">
        <f t="shared" si="47"/>
        <v>#N/A</v>
      </c>
      <c r="E291" s="15" t="str">
        <f t="shared" si="45"/>
        <v/>
      </c>
      <c r="F291" s="16" t="str">
        <f>IF(ISNUMBER(C291),IF(AND(RESULTS!$C$36&lt;=C291,C291&lt;=RESULTS!$D$36),E291,""),"")</f>
        <v/>
      </c>
      <c r="G291" s="16" t="str">
        <f t="shared" ca="1" si="40"/>
        <v/>
      </c>
      <c r="H291" s="16" t="str">
        <f>IF(ISNUMBER(C291),IF(AND(RESULTS!$C$37&lt;=C291,C291&lt;=RESULTS!$D$37),E291,""),"")</f>
        <v/>
      </c>
      <c r="I291" s="16" t="str">
        <f t="shared" ca="1" si="41"/>
        <v/>
      </c>
      <c r="J291" s="16" t="str">
        <f>IF(ISNUMBER(C291),IF(AND(RESULTS!$C$38&lt;=C291,C291&lt;=RESULTS!$D$38),E291,""),"")</f>
        <v/>
      </c>
      <c r="K291" s="16" t="str">
        <f t="shared" ca="1" si="42"/>
        <v/>
      </c>
      <c r="L291" s="16" t="str">
        <f>IF(ISNUMBER(C291),IF(AND(RESULTS!$C$39&lt;=C291,C291&lt;=RESULTS!$D$39),E291,""),"")</f>
        <v/>
      </c>
      <c r="M291" s="16" t="str">
        <f t="shared" ca="1" si="43"/>
        <v/>
      </c>
      <c r="N291" s="16" t="str">
        <f>IF(ISNUMBER(C291),IF(AND(RESULTS!$C$40&lt;=C291,C291&lt;=RESULTS!$D$40),E291,""),"")</f>
        <v/>
      </c>
      <c r="O291" s="16" t="str">
        <f t="shared" ca="1" si="44"/>
        <v/>
      </c>
    </row>
    <row r="292" spans="3:15" x14ac:dyDescent="0.25">
      <c r="C292" s="58" t="e">
        <f t="shared" si="46"/>
        <v>#N/A</v>
      </c>
      <c r="D292" s="58" t="e">
        <f t="shared" si="47"/>
        <v>#N/A</v>
      </c>
      <c r="E292" s="15" t="str">
        <f t="shared" si="45"/>
        <v/>
      </c>
      <c r="F292" s="16" t="str">
        <f>IF(ISNUMBER(C292),IF(AND(RESULTS!$C$36&lt;=C292,C292&lt;=RESULTS!$D$36),E292,""),"")</f>
        <v/>
      </c>
      <c r="G292" s="16" t="str">
        <f t="shared" ca="1" si="40"/>
        <v/>
      </c>
      <c r="H292" s="16" t="str">
        <f>IF(ISNUMBER(C292),IF(AND(RESULTS!$C$37&lt;=C292,C292&lt;=RESULTS!$D$37),E292,""),"")</f>
        <v/>
      </c>
      <c r="I292" s="16" t="str">
        <f t="shared" ca="1" si="41"/>
        <v/>
      </c>
      <c r="J292" s="16" t="str">
        <f>IF(ISNUMBER(C292),IF(AND(RESULTS!$C$38&lt;=C292,C292&lt;=RESULTS!$D$38),E292,""),"")</f>
        <v/>
      </c>
      <c r="K292" s="16" t="str">
        <f t="shared" ca="1" si="42"/>
        <v/>
      </c>
      <c r="L292" s="16" t="str">
        <f>IF(ISNUMBER(C292),IF(AND(RESULTS!$C$39&lt;=C292,C292&lt;=RESULTS!$D$39),E292,""),"")</f>
        <v/>
      </c>
      <c r="M292" s="16" t="str">
        <f t="shared" ca="1" si="43"/>
        <v/>
      </c>
      <c r="N292" s="16" t="str">
        <f>IF(ISNUMBER(C292),IF(AND(RESULTS!$C$40&lt;=C292,C292&lt;=RESULTS!$D$40),E292,""),"")</f>
        <v/>
      </c>
      <c r="O292" s="16" t="str">
        <f t="shared" ca="1" si="44"/>
        <v/>
      </c>
    </row>
    <row r="293" spans="3:15" x14ac:dyDescent="0.25">
      <c r="C293" s="58" t="e">
        <f t="shared" si="46"/>
        <v>#N/A</v>
      </c>
      <c r="D293" s="58" t="e">
        <f t="shared" si="47"/>
        <v>#N/A</v>
      </c>
      <c r="E293" s="15" t="str">
        <f t="shared" si="45"/>
        <v/>
      </c>
      <c r="F293" s="16" t="str">
        <f>IF(ISNUMBER(C293),IF(AND(RESULTS!$C$36&lt;=C293,C293&lt;=RESULTS!$D$36),E293,""),"")</f>
        <v/>
      </c>
      <c r="G293" s="16" t="str">
        <f t="shared" ca="1" si="40"/>
        <v/>
      </c>
      <c r="H293" s="16" t="str">
        <f>IF(ISNUMBER(C293),IF(AND(RESULTS!$C$37&lt;=C293,C293&lt;=RESULTS!$D$37),E293,""),"")</f>
        <v/>
      </c>
      <c r="I293" s="16" t="str">
        <f t="shared" ca="1" si="41"/>
        <v/>
      </c>
      <c r="J293" s="16" t="str">
        <f>IF(ISNUMBER(C293),IF(AND(RESULTS!$C$38&lt;=C293,C293&lt;=RESULTS!$D$38),E293,""),"")</f>
        <v/>
      </c>
      <c r="K293" s="16" t="str">
        <f t="shared" ca="1" si="42"/>
        <v/>
      </c>
      <c r="L293" s="16" t="str">
        <f>IF(ISNUMBER(C293),IF(AND(RESULTS!$C$39&lt;=C293,C293&lt;=RESULTS!$D$39),E293,""),"")</f>
        <v/>
      </c>
      <c r="M293" s="16" t="str">
        <f t="shared" ca="1" si="43"/>
        <v/>
      </c>
      <c r="N293" s="16" t="str">
        <f>IF(ISNUMBER(C293),IF(AND(RESULTS!$C$40&lt;=C293,C293&lt;=RESULTS!$D$40),E293,""),"")</f>
        <v/>
      </c>
      <c r="O293" s="16" t="str">
        <f t="shared" ca="1" si="44"/>
        <v/>
      </c>
    </row>
    <row r="294" spans="3:15" x14ac:dyDescent="0.25">
      <c r="C294" s="58" t="e">
        <f t="shared" si="46"/>
        <v>#N/A</v>
      </c>
      <c r="D294" s="58" t="e">
        <f t="shared" si="47"/>
        <v>#N/A</v>
      </c>
      <c r="E294" s="15" t="str">
        <f t="shared" si="45"/>
        <v/>
      </c>
      <c r="F294" s="16" t="str">
        <f>IF(ISNUMBER(C294),IF(AND(RESULTS!$C$36&lt;=C294,C294&lt;=RESULTS!$D$36),E294,""),"")</f>
        <v/>
      </c>
      <c r="G294" s="16" t="str">
        <f t="shared" ca="1" si="40"/>
        <v/>
      </c>
      <c r="H294" s="16" t="str">
        <f>IF(ISNUMBER(C294),IF(AND(RESULTS!$C$37&lt;=C294,C294&lt;=RESULTS!$D$37),E294,""),"")</f>
        <v/>
      </c>
      <c r="I294" s="16" t="str">
        <f t="shared" ca="1" si="41"/>
        <v/>
      </c>
      <c r="J294" s="16" t="str">
        <f>IF(ISNUMBER(C294),IF(AND(RESULTS!$C$38&lt;=C294,C294&lt;=RESULTS!$D$38),E294,""),"")</f>
        <v/>
      </c>
      <c r="K294" s="16" t="str">
        <f t="shared" ca="1" si="42"/>
        <v/>
      </c>
      <c r="L294" s="16" t="str">
        <f>IF(ISNUMBER(C294),IF(AND(RESULTS!$C$39&lt;=C294,C294&lt;=RESULTS!$D$39),E294,""),"")</f>
        <v/>
      </c>
      <c r="M294" s="16" t="str">
        <f t="shared" ca="1" si="43"/>
        <v/>
      </c>
      <c r="N294" s="16" t="str">
        <f>IF(ISNUMBER(C294),IF(AND(RESULTS!$C$40&lt;=C294,C294&lt;=RESULTS!$D$40),E294,""),"")</f>
        <v/>
      </c>
      <c r="O294" s="16" t="str">
        <f t="shared" ca="1" si="44"/>
        <v/>
      </c>
    </row>
    <row r="295" spans="3:15" x14ac:dyDescent="0.25">
      <c r="C295" s="58" t="e">
        <f t="shared" si="46"/>
        <v>#N/A</v>
      </c>
      <c r="D295" s="58" t="e">
        <f t="shared" si="47"/>
        <v>#N/A</v>
      </c>
      <c r="E295" s="15" t="str">
        <f t="shared" si="45"/>
        <v/>
      </c>
      <c r="F295" s="16" t="str">
        <f>IF(ISNUMBER(C295),IF(AND(RESULTS!$C$36&lt;=C295,C295&lt;=RESULTS!$D$36),E295,""),"")</f>
        <v/>
      </c>
      <c r="G295" s="16" t="str">
        <f t="shared" ca="1" si="40"/>
        <v/>
      </c>
      <c r="H295" s="16" t="str">
        <f>IF(ISNUMBER(C295),IF(AND(RESULTS!$C$37&lt;=C295,C295&lt;=RESULTS!$D$37),E295,""),"")</f>
        <v/>
      </c>
      <c r="I295" s="16" t="str">
        <f t="shared" ca="1" si="41"/>
        <v/>
      </c>
      <c r="J295" s="16" t="str">
        <f>IF(ISNUMBER(C295),IF(AND(RESULTS!$C$38&lt;=C295,C295&lt;=RESULTS!$D$38),E295,""),"")</f>
        <v/>
      </c>
      <c r="K295" s="16" t="str">
        <f t="shared" ca="1" si="42"/>
        <v/>
      </c>
      <c r="L295" s="16" t="str">
        <f>IF(ISNUMBER(C295),IF(AND(RESULTS!$C$39&lt;=C295,C295&lt;=RESULTS!$D$39),E295,""),"")</f>
        <v/>
      </c>
      <c r="M295" s="16" t="str">
        <f t="shared" ca="1" si="43"/>
        <v/>
      </c>
      <c r="N295" s="16" t="str">
        <f>IF(ISNUMBER(C295),IF(AND(RESULTS!$C$40&lt;=C295,C295&lt;=RESULTS!$D$40),E295,""),"")</f>
        <v/>
      </c>
      <c r="O295" s="16" t="str">
        <f t="shared" ca="1" si="44"/>
        <v/>
      </c>
    </row>
    <row r="296" spans="3:15" x14ac:dyDescent="0.25">
      <c r="C296" s="58" t="e">
        <f t="shared" si="46"/>
        <v>#N/A</v>
      </c>
      <c r="D296" s="58" t="e">
        <f t="shared" si="47"/>
        <v>#N/A</v>
      </c>
      <c r="E296" s="15" t="str">
        <f t="shared" si="45"/>
        <v/>
      </c>
      <c r="F296" s="16" t="str">
        <f>IF(ISNUMBER(C296),IF(AND(RESULTS!$C$36&lt;=C296,C296&lt;=RESULTS!$D$36),E296,""),"")</f>
        <v/>
      </c>
      <c r="G296" s="16" t="str">
        <f t="shared" ca="1" si="40"/>
        <v/>
      </c>
      <c r="H296" s="16" t="str">
        <f>IF(ISNUMBER(C296),IF(AND(RESULTS!$C$37&lt;=C296,C296&lt;=RESULTS!$D$37),E296,""),"")</f>
        <v/>
      </c>
      <c r="I296" s="16" t="str">
        <f t="shared" ca="1" si="41"/>
        <v/>
      </c>
      <c r="J296" s="16" t="str">
        <f>IF(ISNUMBER(C296),IF(AND(RESULTS!$C$38&lt;=C296,C296&lt;=RESULTS!$D$38),E296,""),"")</f>
        <v/>
      </c>
      <c r="K296" s="16" t="str">
        <f t="shared" ca="1" si="42"/>
        <v/>
      </c>
      <c r="L296" s="16" t="str">
        <f>IF(ISNUMBER(C296),IF(AND(RESULTS!$C$39&lt;=C296,C296&lt;=RESULTS!$D$39),E296,""),"")</f>
        <v/>
      </c>
      <c r="M296" s="16" t="str">
        <f t="shared" ca="1" si="43"/>
        <v/>
      </c>
      <c r="N296" s="16" t="str">
        <f>IF(ISNUMBER(C296),IF(AND(RESULTS!$C$40&lt;=C296,C296&lt;=RESULTS!$D$40),E296,""),"")</f>
        <v/>
      </c>
      <c r="O296" s="16" t="str">
        <f t="shared" ca="1" si="44"/>
        <v/>
      </c>
    </row>
    <row r="297" spans="3:15" x14ac:dyDescent="0.25">
      <c r="C297" s="58" t="e">
        <f t="shared" si="46"/>
        <v>#N/A</v>
      </c>
      <c r="D297" s="58" t="e">
        <f t="shared" si="47"/>
        <v>#N/A</v>
      </c>
      <c r="E297" s="15" t="str">
        <f t="shared" si="45"/>
        <v/>
      </c>
      <c r="F297" s="16" t="str">
        <f>IF(ISNUMBER(C297),IF(AND(RESULTS!$C$36&lt;=C297,C297&lt;=RESULTS!$D$36),E297,""),"")</f>
        <v/>
      </c>
      <c r="G297" s="16" t="str">
        <f t="shared" ca="1" si="40"/>
        <v/>
      </c>
      <c r="H297" s="16" t="str">
        <f>IF(ISNUMBER(C297),IF(AND(RESULTS!$C$37&lt;=C297,C297&lt;=RESULTS!$D$37),E297,""),"")</f>
        <v/>
      </c>
      <c r="I297" s="16" t="str">
        <f t="shared" ca="1" si="41"/>
        <v/>
      </c>
      <c r="J297" s="16" t="str">
        <f>IF(ISNUMBER(C297),IF(AND(RESULTS!$C$38&lt;=C297,C297&lt;=RESULTS!$D$38),E297,""),"")</f>
        <v/>
      </c>
      <c r="K297" s="16" t="str">
        <f t="shared" ca="1" si="42"/>
        <v/>
      </c>
      <c r="L297" s="16" t="str">
        <f>IF(ISNUMBER(C297),IF(AND(RESULTS!$C$39&lt;=C297,C297&lt;=RESULTS!$D$39),E297,""),"")</f>
        <v/>
      </c>
      <c r="M297" s="16" t="str">
        <f t="shared" ca="1" si="43"/>
        <v/>
      </c>
      <c r="N297" s="16" t="str">
        <f>IF(ISNUMBER(C297),IF(AND(RESULTS!$C$40&lt;=C297,C297&lt;=RESULTS!$D$40),E297,""),"")</f>
        <v/>
      </c>
      <c r="O297" s="16" t="str">
        <f t="shared" ca="1" si="44"/>
        <v/>
      </c>
    </row>
    <row r="298" spans="3:15" x14ac:dyDescent="0.25">
      <c r="C298" s="58" t="e">
        <f t="shared" si="46"/>
        <v>#N/A</v>
      </c>
      <c r="D298" s="58" t="e">
        <f t="shared" si="47"/>
        <v>#N/A</v>
      </c>
      <c r="E298" s="15" t="str">
        <f t="shared" si="45"/>
        <v/>
      </c>
      <c r="F298" s="16" t="str">
        <f>IF(ISNUMBER(C298),IF(AND(RESULTS!$C$36&lt;=C298,C298&lt;=RESULTS!$D$36),E298,""),"")</f>
        <v/>
      </c>
      <c r="G298" s="16" t="str">
        <f t="shared" ca="1" si="40"/>
        <v/>
      </c>
      <c r="H298" s="16" t="str">
        <f>IF(ISNUMBER(C298),IF(AND(RESULTS!$C$37&lt;=C298,C298&lt;=RESULTS!$D$37),E298,""),"")</f>
        <v/>
      </c>
      <c r="I298" s="16" t="str">
        <f t="shared" ca="1" si="41"/>
        <v/>
      </c>
      <c r="J298" s="16" t="str">
        <f>IF(ISNUMBER(C298),IF(AND(RESULTS!$C$38&lt;=C298,C298&lt;=RESULTS!$D$38),E298,""),"")</f>
        <v/>
      </c>
      <c r="K298" s="16" t="str">
        <f t="shared" ca="1" si="42"/>
        <v/>
      </c>
      <c r="L298" s="16" t="str">
        <f>IF(ISNUMBER(C298),IF(AND(RESULTS!$C$39&lt;=C298,C298&lt;=RESULTS!$D$39),E298,""),"")</f>
        <v/>
      </c>
      <c r="M298" s="16" t="str">
        <f t="shared" ca="1" si="43"/>
        <v/>
      </c>
      <c r="N298" s="16" t="str">
        <f>IF(ISNUMBER(C298),IF(AND(RESULTS!$C$40&lt;=C298,C298&lt;=RESULTS!$D$40),E298,""),"")</f>
        <v/>
      </c>
      <c r="O298" s="16" t="str">
        <f t="shared" ca="1" si="44"/>
        <v/>
      </c>
    </row>
    <row r="299" spans="3:15" x14ac:dyDescent="0.25">
      <c r="C299" s="58" t="e">
        <f t="shared" si="46"/>
        <v>#N/A</v>
      </c>
      <c r="D299" s="58" t="e">
        <f t="shared" si="47"/>
        <v>#N/A</v>
      </c>
      <c r="E299" s="15" t="str">
        <f t="shared" si="45"/>
        <v/>
      </c>
      <c r="F299" s="16" t="str">
        <f>IF(ISNUMBER(C299),IF(AND(RESULTS!$C$36&lt;=C299,C299&lt;=RESULTS!$D$36),E299,""),"")</f>
        <v/>
      </c>
      <c r="G299" s="16" t="str">
        <f t="shared" ca="1" si="40"/>
        <v/>
      </c>
      <c r="H299" s="16" t="str">
        <f>IF(ISNUMBER(C299),IF(AND(RESULTS!$C$37&lt;=C299,C299&lt;=RESULTS!$D$37),E299,""),"")</f>
        <v/>
      </c>
      <c r="I299" s="16" t="str">
        <f t="shared" ca="1" si="41"/>
        <v/>
      </c>
      <c r="J299" s="16" t="str">
        <f>IF(ISNUMBER(C299),IF(AND(RESULTS!$C$38&lt;=C299,C299&lt;=RESULTS!$D$38),E299,""),"")</f>
        <v/>
      </c>
      <c r="K299" s="16" t="str">
        <f t="shared" ca="1" si="42"/>
        <v/>
      </c>
      <c r="L299" s="16" t="str">
        <f>IF(ISNUMBER(C299),IF(AND(RESULTS!$C$39&lt;=C299,C299&lt;=RESULTS!$D$39),E299,""),"")</f>
        <v/>
      </c>
      <c r="M299" s="16" t="str">
        <f t="shared" ca="1" si="43"/>
        <v/>
      </c>
      <c r="N299" s="16" t="str">
        <f>IF(ISNUMBER(C299),IF(AND(RESULTS!$C$40&lt;=C299,C299&lt;=RESULTS!$D$40),E299,""),"")</f>
        <v/>
      </c>
      <c r="O299" s="16" t="str">
        <f t="shared" ca="1" si="44"/>
        <v/>
      </c>
    </row>
    <row r="300" spans="3:15" x14ac:dyDescent="0.25">
      <c r="C300" s="58" t="e">
        <f t="shared" si="46"/>
        <v>#N/A</v>
      </c>
      <c r="D300" s="58" t="e">
        <f t="shared" si="47"/>
        <v>#N/A</v>
      </c>
      <c r="E300" s="15" t="str">
        <f t="shared" si="45"/>
        <v/>
      </c>
      <c r="F300" s="16" t="str">
        <f>IF(ISNUMBER(C300),IF(AND(RESULTS!$C$36&lt;=C300,C300&lt;=RESULTS!$D$36),E300,""),"")</f>
        <v/>
      </c>
      <c r="G300" s="16" t="str">
        <f t="shared" ca="1" si="40"/>
        <v/>
      </c>
      <c r="H300" s="16" t="str">
        <f>IF(ISNUMBER(C300),IF(AND(RESULTS!$C$37&lt;=C300,C300&lt;=RESULTS!$D$37),E300,""),"")</f>
        <v/>
      </c>
      <c r="I300" s="16" t="str">
        <f t="shared" ca="1" si="41"/>
        <v/>
      </c>
      <c r="J300" s="16" t="str">
        <f>IF(ISNUMBER(C300),IF(AND(RESULTS!$C$38&lt;=C300,C300&lt;=RESULTS!$D$38),E300,""),"")</f>
        <v/>
      </c>
      <c r="K300" s="16" t="str">
        <f t="shared" ca="1" si="42"/>
        <v/>
      </c>
      <c r="L300" s="16" t="str">
        <f>IF(ISNUMBER(C300),IF(AND(RESULTS!$C$39&lt;=C300,C300&lt;=RESULTS!$D$39),E300,""),"")</f>
        <v/>
      </c>
      <c r="M300" s="16" t="str">
        <f t="shared" ca="1" si="43"/>
        <v/>
      </c>
      <c r="N300" s="16" t="str">
        <f>IF(ISNUMBER(C300),IF(AND(RESULTS!$C$40&lt;=C300,C300&lt;=RESULTS!$D$40),E300,""),"")</f>
        <v/>
      </c>
      <c r="O300" s="16" t="str">
        <f t="shared" ca="1" si="44"/>
        <v/>
      </c>
    </row>
    <row r="301" spans="3:15" x14ac:dyDescent="0.25">
      <c r="C301" s="58" t="e">
        <f t="shared" si="46"/>
        <v>#N/A</v>
      </c>
      <c r="D301" s="58" t="e">
        <f t="shared" si="47"/>
        <v>#N/A</v>
      </c>
      <c r="E301" s="15" t="str">
        <f t="shared" si="45"/>
        <v/>
      </c>
      <c r="F301" s="16" t="str">
        <f>IF(ISNUMBER(C301),IF(AND(RESULTS!$C$36&lt;=C301,C301&lt;=RESULTS!$D$36),E301,""),"")</f>
        <v/>
      </c>
      <c r="G301" s="16" t="str">
        <f t="shared" ca="1" si="40"/>
        <v/>
      </c>
      <c r="H301" s="16" t="str">
        <f>IF(ISNUMBER(C301),IF(AND(RESULTS!$C$37&lt;=C301,C301&lt;=RESULTS!$D$37),E301,""),"")</f>
        <v/>
      </c>
      <c r="I301" s="16" t="str">
        <f t="shared" ca="1" si="41"/>
        <v/>
      </c>
      <c r="J301" s="16" t="str">
        <f>IF(ISNUMBER(C301),IF(AND(RESULTS!$C$38&lt;=C301,C301&lt;=RESULTS!$D$38),E301,""),"")</f>
        <v/>
      </c>
      <c r="K301" s="16" t="str">
        <f t="shared" ca="1" si="42"/>
        <v/>
      </c>
      <c r="L301" s="16" t="str">
        <f>IF(ISNUMBER(C301),IF(AND(RESULTS!$C$39&lt;=C301,C301&lt;=RESULTS!$D$39),E301,""),"")</f>
        <v/>
      </c>
      <c r="M301" s="16" t="str">
        <f t="shared" ca="1" si="43"/>
        <v/>
      </c>
      <c r="N301" s="16" t="str">
        <f>IF(ISNUMBER(C301),IF(AND(RESULTS!$C$40&lt;=C301,C301&lt;=RESULTS!$D$40),E301,""),"")</f>
        <v/>
      </c>
      <c r="O301" s="16" t="str">
        <f t="shared" ca="1" si="44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4"/>
  <sheetViews>
    <sheetView workbookViewId="0">
      <selection activeCell="A31" sqref="A31"/>
    </sheetView>
  </sheetViews>
  <sheetFormatPr baseColWidth="10" defaultRowHeight="15" x14ac:dyDescent="0.25"/>
  <cols>
    <col min="1" max="1" width="80.85546875" style="19" customWidth="1"/>
  </cols>
  <sheetData>
    <row r="1" spans="1:1" x14ac:dyDescent="0.25">
      <c r="A1" s="19" t="s">
        <v>14</v>
      </c>
    </row>
    <row r="2" spans="1:1" ht="60" x14ac:dyDescent="0.25">
      <c r="A2" s="19" t="s">
        <v>12</v>
      </c>
    </row>
    <row r="3" spans="1:1" ht="30" x14ac:dyDescent="0.25">
      <c r="A3" s="19" t="s">
        <v>15</v>
      </c>
    </row>
    <row r="4" spans="1:1" x14ac:dyDescent="0.25">
      <c r="A4" s="19" t="s">
        <v>13</v>
      </c>
    </row>
  </sheetData>
  <sheetProtection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RESULTS</vt:lpstr>
      <vt:lpstr>CALC</vt:lpstr>
      <vt:lpstr>Instructions</vt:lpstr>
      <vt:lpstr>CALC!_230125RFnn</vt:lpstr>
    </vt:vector>
  </TitlesOfParts>
  <Company>CS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MARTINEZ RAMIREZ</dc:creator>
  <cp:lastModifiedBy>tcm33e</cp:lastModifiedBy>
  <cp:lastPrinted>2025-02-17T13:36:03Z</cp:lastPrinted>
  <dcterms:created xsi:type="dcterms:W3CDTF">2018-02-19T18:14:37Z</dcterms:created>
  <dcterms:modified xsi:type="dcterms:W3CDTF">2025-05-12T10:44:33Z</dcterms:modified>
</cp:coreProperties>
</file>